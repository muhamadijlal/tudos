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bd7ab27f69aeacc4/Documents/docs/"/>
    </mc:Choice>
  </mc:AlternateContent>
  <xr:revisionPtr revIDLastSave="1" documentId="11_DC6403959B5C1F77102D762855BADC1C1B7DCD2A" xr6:coauthVersionLast="47" xr6:coauthVersionMax="47" xr10:uidLastSave="{0DDBD31A-3CD1-413A-8133-038ED5B4A64A}"/>
  <bookViews>
    <workbookView xWindow="-98" yWindow="-98" windowWidth="21795" windowHeight="13695" activeTab="6" xr2:uid="{00000000-000D-0000-FFFF-FFFF00000000}"/>
  </bookViews>
  <sheets>
    <sheet name="Januari 2026" sheetId="1" r:id="rId1"/>
    <sheet name="Februari 2026" sheetId="2" r:id="rId2"/>
    <sheet name="Maret 2026" sheetId="3" r:id="rId3"/>
    <sheet name="April 2026" sheetId="4" r:id="rId4"/>
    <sheet name="Mei 2026" sheetId="5" r:id="rId5"/>
    <sheet name="Juni 2026" sheetId="6" r:id="rId6"/>
    <sheet name="Juli 2026" sheetId="7" r:id="rId7"/>
  </sheets>
  <definedNames>
    <definedName name="_xlnm.Print_Area" localSheetId="3">'April 2026'!$A$1:$E$48</definedName>
    <definedName name="_xlnm.Print_Area" localSheetId="1">'Februari 2026'!$A$1:$E$46</definedName>
    <definedName name="_xlnm.Print_Area" localSheetId="0">'Januari 2026'!$A$1:$E$49</definedName>
    <definedName name="_xlnm.Print_Area" localSheetId="5">'Juni 2026'!$A$1:$E$48</definedName>
    <definedName name="_xlnm.Print_Area" localSheetId="2">'Maret 2026'!$A$1:$E$49</definedName>
    <definedName name="_xlnm.Print_Area" localSheetId="4">'Mei 2026'!$A$1:$E$49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6" l="1"/>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39" i="7"/>
  <c r="C38" i="7"/>
  <c r="C37" i="7"/>
  <c r="C36" i="7"/>
  <c r="C35" i="7"/>
  <c r="C34" i="7"/>
  <c r="C33" i="7"/>
  <c r="C32" i="7"/>
  <c r="C31" i="7"/>
  <c r="C30" i="7"/>
  <c r="C29" i="7"/>
  <c r="C28" i="7"/>
  <c r="C27" i="7"/>
  <c r="C26" i="7"/>
  <c r="C25" i="7"/>
  <c r="C24" i="7"/>
  <c r="C23" i="7"/>
  <c r="C22" i="7"/>
  <c r="C21" i="7"/>
  <c r="C20" i="7"/>
  <c r="C19" i="7"/>
  <c r="C18" i="7"/>
  <c r="C17" i="7"/>
  <c r="C16" i="7"/>
  <c r="C15" i="7"/>
  <c r="C14" i="7"/>
  <c r="C13" i="7"/>
  <c r="C12" i="7"/>
  <c r="C11" i="7"/>
  <c r="C10" i="7"/>
</calcChain>
</file>

<file path=xl/sharedStrings.xml><?xml version="1.0" encoding="utf-8"?>
<sst xmlns="http://schemas.openxmlformats.org/spreadsheetml/2006/main" count="217" uniqueCount="145">
  <si>
    <t>Daftar Kerja Karyawan</t>
  </si>
  <si>
    <t>Periode : Juli 2026</t>
  </si>
  <si>
    <t>Nama : Muhamad Haidar Ijlal</t>
  </si>
  <si>
    <t>Unit   : IT Development</t>
  </si>
  <si>
    <t>Tanggal</t>
  </si>
  <si>
    <t>Hari</t>
  </si>
  <si>
    <t>Pekerjaan (Daily Activity )</t>
  </si>
  <si>
    <t>[Dashboard Sentimen][Frontend] - Mengimplementasikan fitur CRUD (Create, Read, Update, Delete) pada modul Manajemen Jenis Perusahaan
[Dashboard Sentimen][Frontend] - Mengimplementasikan fitur Read pada modul Manajemen Platform Sources
[Dashboard Sentimen][Backend] - Mengembangkan REST API endpoint untuk operasi CRUD pada modul Manajemen Jenis Perusahaan
[Dashboard Sentimen][Backend] - Mengembangkan REST API endpoint untuk operasi Read pada modul Manajemen Platform Sources
[Dashboard Sentimen][Backend] - Mengembangkan REST API endpoint untuk operasi Read pada modul Manajemen Account Media</t>
  </si>
  <si>
    <t>[Dashboard Sentimen][Frontend] - Slicing UI modul Account Media dengan mengadopsi struktur dari modul Platform Sources
[Dashboard Sentimen][Backend] - Mengembangkan REST API endpoint untuk operasi Create, Read, Update dan Delete pada modul Manajemen Account Media
[Dashboard Sentimen][Backend] - Mengimplementasikan fitur Soft Delete pada modul Account Media dan Platform Sources</t>
  </si>
  <si>
    <t>[Dashboard Mediasi][Backend] – Develop trend report API endpoint for Public Issues
[Dashboard Mediasi][Backend] – Develop trend report API endpoint for Top Trend Report
[Dashboard Mediasi][Backend] – Develop trend report API endpoint for Daily Volume Trend
[Dashboard Mediasi][Backend] – Develop trend report API endpoint for Daily Volume Trend (Top One)
[Dashboard Mediasi][Backend] – Develop trend report API endpoint for Sentiment Analysis
[Dashboard Mediasi][Frontend] – Integrate Public Issues data from API
[Dashboard Mediasi][Frontend] – Integrate Top Trend Report data from API
[Dashboard Mediasi][Frontend] – Integrate Daily Volume Trend data from API
[Dashboard Mediasi][Frontend] – Integrate Daily Volume Trend (Top One) data from API
[Dashboard Mediasi][Frontend] – Integrate Sentiment Analysis data from API</t>
  </si>
  <si>
    <t>[Dashboard Mediasi][Backend] – Develop trend report API endpoint for Sentiment Analysis Keywords
[Dashboard Mediasi][Backend] – Develop trend report API endpoint for Heatmap Calendar
[Dashboard Mediasi][Backend] – Develop trend report API endpoint for Score Histogram
[Dashboard Mediasi][Backend] – Develop trend report API endpoint for AI Summary
[Dashboard Mediasi][Frontend] – Integrate Sentiment Analysis Keywords data from API
[Dashboard Mediasi][Frontend] – Integrate Heatmap Calendar data from API
[Dashboard Mediasi][Frontend] – Integrate Score Histogram data from API
[Dashboard Mediasi][Frontend] – Integrate AI Summary data from API</t>
  </si>
  <si>
    <t>[Travoyhub][Frontend] – Migrate project codebase from Travoy REST
[Travoyhub][Frontend] – Adjust and adapt Travoyhub UI
[Travoyhub][Frontend] – Migrate asset files
[Travoyhub][Backend] – Migrate backend codebase from Travoy REST API
[Travoyhub][Backend] – Adjust API to align with requirements
[Travoyhub][Database] – Adjust database structure to align with requirements</t>
  </si>
  <si>
    <t>[Travoyhub][Frontend] – Parking Menu UI adjustments (Summary Card, Parking Transaction, Traffic by Pay Method, Parking List, Traffic by Vehicle Type)
[Travoyhub][Frontend] – Adjust Parking Activity menu
[Travoyhub][Backend] – Implement multi-connection support (retrieve parking data from Travoypark core connection)
[Travoyhub][Backend] – Develop API for Parking Capacity, Car Capacity, Motorcycle Capacity, and Parking Occupancy
[Travoyhub][Backend] – Adjust backend to support Region, Area, and Period filters
[Travoyhub][Backend] – Develop API to fetch parking transaction data by period</t>
  </si>
  <si>
    <t>[Travoyhub][Frontend] – Toilet UI adjustments (create map overview, total toilets by gender, status card for total cubicles, and total cubicles by gender)
[Travoyhub][Backend] – Develop API for total cubicles and total cubicles by gender
[Travoyhub][Backend] – Develop API for toilet location map data per floor</t>
  </si>
  <si>
    <t>[Travoyhub][Frontend] – Reorder filter fields (fase, kategori tenant, tenant, periode awal, periode akhir) dan pindahkan filter periode ke posisi paling akhir
[Travoyhub][Frontend] – Set default periode awal ke tanggal 1 dan periode akhir ke tanggal akhir bulan berjalan
[Travoyhub][Frontend] – Hapus search bar pada filter menu Ads (takeout)
[Travoyhub][Frontend] – Reorder kolom tabel (fase, nama tenant, brand, unit, luas, no_pks, dst) di seluruh menu
[Travoyhub][Frontend] – Tambahkan kolom periode (tgl_awal - tgl_akhir) dan kolom no_invoice sebelum kolom periode sales pada semua tabel
[Travoyhub][Frontend] – Tambahkan nomor urut (auto increment) dan pagination limit pada seluruh data tabel
[Travoyhub][Backend] – Tambahkan dukungan kolom periode dan fase pada endpoint tabel Ads</t>
  </si>
  <si>
    <t>[Travoyhub][Backend] – Tambahkan summary card total rental revenue aktif (take out)
[Travoyhub][Backend] – Update tbl_revenue_rekap agar mendukung kolom no_pks dan no_invoice sekaligus
[Travoyhub][Backend] – Filter data Rental Revenue khusus tbl_pks.jenis_sewa = 'sewa'
[Travoyhub][Frontend] – Tambahkan kolom no_pks pada Tenant Revenue (khusus menu Rental Revenue)
[Travoyhub][Frontend] – Hapus filter status kontrak pada menu Rental Revenue
[Travoyhub][Backend] – Sesuaikan query trend revenue Rental Revenue (periode + 2) dimulai dari tanggal periode dengan flat price
[Travoyhub][Backend] – Filter data Tenant Sales khusus tbl_pks.jenis_sewa = 'revenue_sharing'
[Travoyhub][Backend] – Hitung total revenue sharing dari field tbl_revenue_sharing_rekap.revenue_sharing
[Travoyhub][Backend] – Hitung total omset tenant dari field tbl_revenue_sharing_rekap.omset
[Travoyhub][Backend] – Bangun trend revenue Januari-Desember dari field tbl_revenue_sharing_rekap.tgl_penagihan
[Travoyhub][Backend] – Bangun query revenue sharing per fase (join tbl_revenue_sharing_rekap dengan tbl_tenant by code/fase)
[Travoyhub][Frontend] – Tambahkan tabel daftar revenue sharing tenant</t>
  </si>
  <si>
    <t>[Travoyhub][Backend] – Filter data Services Charge dimana services_tarif_parameter &gt; 0
[Travoyhub][Frontend] – Tambahkan kolom no_pks pada tabel Services Charge
[Travoyhub][Backend] – Hitung Total Services Charge Revenue (tbl_tenant_pks.service_tarif_permeter * tbl_tenant.luas * 12)
[Travoyhub][Backend] – Bangun query trend dan breakdown per fase untuk Services Charge Revenue
[Travoyhub][Frontend] – Tambahkan tabel detail Services Charge Revenue
[Travoyhub][Frontend] – Tambahkan 2 pie chart pada menu Ads (per media dan per fase) beserta filter fase
[Travoyhub][Frontend] – Pindahkan menu Ads (takeout) ke menu Revenue dengan nama Ads Revenue (list input revenue ads)</t>
  </si>
  <si>
    <t>[Travoyhub][Frontend] – Tambahkan filter tenant dan fase, serta filter kategori pada Occupancy Overview / Tenant Overview
[Travoyhub][Frontend] – Kecualikan kategori 'space available' dari chart Tenant Category
[Travoyhub][Frontend] – Tambahkan tab pada menu Tenant Layout
[Travoyhub][Frontend] – Tambahkan tanggal start dan end kontrak pada Tenant Permanent beserta detail (pendapatan sewa, service charge, deposit)
[Travoyhub][Frontend] – Tampilkan durasi dan tanggal start/end kontrak pada Tenant Event
[Travoyhub][Frontend] – Rename menu Activity Occupancy menjadi Activity Promotion
[Travoyhub][Backend] – Filter Tenant Sales dari tbl_tenant.tbl_tenant_pks khusus jenis sewa, hitung periode + grace_periode / total revenue untuk data chart
[Travoyhub][Frontend] – Urutkan daftar tenant pada menu Occupancy</t>
  </si>
  <si>
    <t>[Travoyhub][Frontend] – Rename menu Merchant menjadi Occupancy dan sesuaikan seluruh redaksi merchant menjadi tenant
[Travoyhub][Frontend] – Tambahkan action click pada map overview Layout &amp; Facility untuk menampilkan dialog insert
[Travoyhub][Frontend] – Rename menu Parking menjadi Traffic Vehicle dan restrukturisasi submenu (traffic report, CCTV view, people counting report, parking overview)
[Travoyhub][Frontend] – Satukan menu CCTV dengan filter type ('Traffic','Visitor','Surveillance'), hapus CCTV Parking
[Travoyhub][Frontend] – Take out submenu Parking Activity dan Toilet Activity
[Travoyhub][Backend] – Modul Management: CRUD CCTV, SPKLU, Merchant/Tenant, Toilet, ATM, dan User
[Travoyhub][Frontend] – Hapus menu Toilet dan ATM terpisah, satukan ke Dashboard; pindahkan input ATM ke Facility Management</t>
  </si>
  <si>
    <t>[Travoyhub][Frontend] – Bangun form dialog Tenant dengan field fase (1/2)
[Travoyhub][Frontend] – Bangun form PKS untuk jenis sewa (Periode, Tarif Sewa, Tarif Service, Tarif Promosi, Security Deposit, Fitout Deposit)
[Travoyhub][Frontend] – Bangun form PKS untuk jenis event (Periode, Profit Sharing, Tarif Service, Tarif Promosi, Security Deposit, Fitout Deposit, Minimum Payment)
[Travoyhub][Backend] – Set nilai SPKLU Revenue dan Top Connection menjadi 0 (placeholder data)
[Travoyhub][Backend] – Sesuaikan periode tenant agar diambil dari tabel tenant_pks
[Travoyhub][Frontend] – Tambahkan toggle jenis facility pada map overview Dashboard
[Travoyhub][Frontend] – Sesuaikan posisi logo tenant pada map berdasarkan layout bangunan
[Travoyhub][Backend] – Slice filter periode menjadi periode awal dan periode akhir di seluruh menu
[Travoyhub][Backend] – Sesuaikan perhitungan Tenant Revenue: total tahunan dibagi 12 untuk nilai per bulan</t>
  </si>
  <si>
    <t>[Travoyhub][Frontend] – Hide section Tenant Revenue dan Top Tenant pada Tenant Overview, serta hide toilet capacity, ATM, top tenant, dan pendapatan tenant pada Dashboard
[Travoyhub][Frontend] – Tambahkan menu baru Activity (event &amp; promotion) dan menu baru Revenue (Tenant Sales, Rental Revenue, Services Charge Revenue, Utility Revenue)
[Travoyhub][Frontend] – Tambahkan menu report Visitor (takeout)
[Travoyhub][Frontend] – Regression testing menu Dashboard, Occupancy, Revenue, Traffic Vehicle, dan Management pasca restrukturisasi
[Travoyhub][Backend] – Review dan cleanup akhir perubahan filter/tabel di seluruh modul sesuai checklist requirement</t>
  </si>
  <si>
    <t>IT Development Department Head</t>
  </si>
  <si>
    <t>Jakarta, 1 Juli 2026</t>
  </si>
  <si>
    <t>Raina Stefani Budi</t>
  </si>
  <si>
    <t>Muhamad Haidar Ijlal</t>
  </si>
  <si>
    <t>NIK : 170026</t>
  </si>
  <si>
    <t>NIK : 2508001</t>
  </si>
  <si>
    <t>Periode : Januari 2026</t>
  </si>
  <si>
    <t>[dev/IOT]: perbaikan query params periode blacklist amount and bar chart query dashboard
[dev/IOT]: perbaikan query params periode blacklist amount and bar chart query dashboard</t>
  </si>
  <si>
    <t>layouting: creating sidebar
remove 'Rp.' label on report daily export excel</t>
  </si>
  <si>
    <t>layouting: update main.jsx, update breadcrumbs, create Header component dynamic title, add handle: { titlePage } on routes/index.jsx</t>
  </si>
  <si>
    <t>component/page/dashboard: create responsive component summar card, put into dashboard page, add new Icon from .svg asset, remove radius variable, update file main (use browser router), remove handle add titlePage attr on main routes, add new helpers findRouteByPath &amp; formatNumberID</t>
  </si>
  <si>
    <t>[+] create several components variant type ('select','input','datepicker','button').</t>
  </si>
  <si>
    <t xml:space="preserve">[+] update sidebar hook to make defaultOpen in mobile size (&lt;768px) is false. </t>
  </si>
  <si>
    <t>[+] tidy up several components in the group into their respective folder.
create responsivenes filter section on dashboard page
fix hook sidebar, issue: sidebar can't open</t>
  </si>
  <si>
    <t>fix: update penerbitan page, tidak dapat update data lintas entitas</t>
  </si>
  <si>
    <t>fix: add role inputer have a notif when update data penerbitan</t>
  </si>
  <si>
    <t>fix: bug isRead on notification (update params get notification by notification_id)</t>
  </si>
  <si>
    <t>fix: add preview file before approve on card detail approval (field surat pengajuan)
fix: update message sisa masa berlaku kartu</t>
  </si>
  <si>
    <t>fix: update penerbitan kartu tidak bisa update silang entitas</t>
  </si>
  <si>
    <t>fix: nonactive disabled penerbit in update and create user page</t>
  </si>
  <si>
    <t>update: view slot parking add lot, used, and filled</t>
  </si>
  <si>
    <t>update format value revenue plain no character '.' or 'Rp'</t>
  </si>
  <si>
    <t>fix: amount blacklist
fix: format time indo
fix: date.replace is not a function
fix: format time
hotfix: conso is not defined; list kartu baru
fix: button blacklist ubah ke popover, ada dua list blacklist kartu tidak dikenali dan kartu penerbitian
feat: add filter status pengajuan on penerbitan kartu page
fix: getTotalRejectAllType tidak terikat filter di approval page
fix: when reset filter hook getTotalAmountblacklist rerun
fix: loading state on approval reject
fix: show field tgl_terbit and tgl_kadaluwarsa whitelist</t>
  </si>
  <si>
    <t>fix: total summary blacklist get on length data list blacklist
layout: make reusable layout
style: remove plate number in component overstay parking item
page: dashboard clear UI</t>
  </si>
  <si>
    <t>fix: add rquery status pengajuan validate params on penerbitan kartu get list
feat: add filter status pengajuan on penerbitan kartu services
fix: remove console.log in approval services
fix: tgl_terbit filter on penerbitan service
fix: create resource blacklist for distribution
fix: update query total blacklist
fix: query reject alltype, remove console.log on dashboard services
fix: func generate no blacklist and remove validate tgl kadaluwaersa on request registrasi penerbitan
fix: bug on logic check avail id on moel PenerbitanKartu and PenerbitanKartuEksternal
fix: remae unduh template -&gt; cetak tanda terima card detail sidebar</t>
  </si>
  <si>
    <t>change: dashboard doughnut chart change into total penerbit by jenis kartu
fix: approve all reactivate
change: dashboard doughnut chart change into total penerbit by jenis kartu
approve all reactivate</t>
  </si>
  <si>
    <t>fix: validate karyawan penugasan diluar penugasan
pie chart add label without change the size
kembalikan ke awal
pie chart terlalu kecil
fix ejs dashboard piechart belum ada percent
fix ejs dashboard piechart fix size
fix ejs dashboard piechart
add percent on piechart
change color kartu liar
fix ejs dashboard export
get data dashboard blacklist per alasan, fix validate karyawan diluar penugasan
fix: logic validate karyawan penugasan
cutout 55% -&gt; 45%
remove percent on labels
install shart js plugin datalabels and create percentage of pie chart
fix: properties of undefined (reading 'reduce')
total whitelist change into total penerbitan
make breatheble
fix size doughnut chart
totalBlacklistByAlasan.regional -&gt; totalBlacklistByAlasan.nama
get data dashboard blacklist per alasan, fix validate karyawan diluar penugasan
refactor component to atomic design patern part 1</t>
  </si>
  <si>
    <t>Jakarta, 6 Juni 2026</t>
  </si>
  <si>
    <t>Periode : Februari 2026</t>
  </si>
  <si>
    <t>add amount beside of legends bar chart
update: blacklist total sesuai dengan penerbit asal
fix: barchart labels
total approve get by list approve
refactor component to atomic design patern part end
update: new layout (add perblock) and add feature filter (area, zone, and block)</t>
  </si>
  <si>
    <t>add parking activity pages
make responsive table design, hook pagination and table</t>
  </si>
  <si>
    <t>update: validasi request params .isIn([ENCODED, RECEIVED, BLACKLIST, ENCODED_EXT])
fix: options status pengajuan in pages penerbitan kartu, message notifikasi detail modal (waktu + pesan) &amp; notifikasi (H:i:s tanggal/bulan/tahun), search bar di table blacklist (+UID kartu) kartu liar
change zone 1 to zone GF</t>
  </si>
  <si>
    <t>[feat:RAMS-EP-7|feat:RAMS-EP-8|feat:RAMS-EP-9]: CRUD Regional, Area, Facility]</t>
  </si>
  <si>
    <t>add menu cctv slot parkir</t>
  </si>
  <si>
    <t>remove unnecessary console.log()</t>
  </si>
  <si>
    <t>mulai membuat akses superadmin</t>
  </si>
  <si>
    <t>new dashboard</t>
  </si>
  <si>
    <t>new template
database: redesign database</t>
  </si>
  <si>
    <t>filter get data options from backend</t>
  </si>
  <si>
    <t>change query options, and change method options API
fix summary card
dashboard clear</t>
  </si>
  <si>
    <t>fix register and update penerbitan</t>
  </si>
  <si>
    <t>feat: update data put on local storage, aksesdewa on admin multi penerbit
user multi penerbit clear, remain penerbitan eksternal approve
perpanjang kartu clear</t>
  </si>
  <si>
    <t>recieved kartu
feat akses dewa encode
feature approving all
akses dewa approve and reject except approve all
perpanjang kartu clear
recieved kartu
fix encode</t>
  </si>
  <si>
    <t>feat approve all
approve and reject multi penerbit except approve all
user update multi penerbit, remaining eksternal</t>
  </si>
  <si>
    <t>remove console.log
update notification query
whitelist approval clear
change formatTanggalIndonesia function, handle when data undefined
set timeout request 60 second
remove console
approval whitelist clear</t>
  </si>
  <si>
    <t>update endpoint cctv</t>
  </si>
  <si>
    <t>facility finder connect to API
API facility finder
update data and schema table seeder &amp; migrations</t>
  </si>
  <si>
    <t>Periode : Maret 2026</t>
  </si>
  <si>
    <t>fetch data from backend on map overview, facility coordinates
fix middleware component guest and protected route, add feat logout and confirm dialog
remove group from facility.name</t>
  </si>
  <si>
    <t>integration data backend, facility SPKLU, SPBU, Toilet
integration data backend, facility SPKLU, SPBU, Toilet
fix seeder, create few table traffic logs, cctv, transaction logs</t>
  </si>
  <si>
    <t>dashboard rendered component
api for datasource dashboard</t>
  </si>
  <si>
    <t>summary card render data from backend
data source from summary card revenue</t>
  </si>
  <si>
    <t>update env.example
user.js change
Add Gitlab CI Dockerfile
show env
update cors origin</t>
  </si>
  <si>
    <t>update fronend conditional rendering, image atm, image top merchant
remove undefined from data in export blacklist
update facility controller and atm seeder</t>
  </si>
  <si>
    <t>Event listen to Server Sent Event SPKLU nozzle</t>
  </si>
  <si>
    <t>pindahkan assets bank ke public</t>
  </si>
  <si>
    <t>update data tidak ditemukan field
update revenue 0, topmerhcant hide revenue</t>
  </si>
  <si>
    <t>update seeder spklu maks 7 mengikuti data SSE
update image source ATM
pindah assets bank ke public
update parking trnasactions seeder</t>
  </si>
  <si>
    <t>skeleton ATM component, SPKLU field name, add difability toilet
add assets/bank (bjb, bsi)
hide temporary total nozzle spkluupdate authServices, logout currentAccessToken User</t>
  </si>
  <si>
    <t>show total nozzle listen to SSE</t>
  </si>
  <si>
    <t>bug fix flick on redirect role access
bug, flicker on redirect
routes has role
add role user, hide permission seeder
update: transaksi detail, reporting, and report gate
fix: query dashboard Controllers/Home.php method getCountRevenueOneMonth
update: query lalin and revenue transaction dashboard
update bug, one user one device -&gt; one user multi devices
update logic seeder (ATMSeeder, ParkingSlotSeeder)
update seeder ATM, SPKLU, SPBU, ATM, Toilet
show data traffic, fetch data from ITA
update: penyesuaian view, controller, dan model untuk handle status pembayaran multi payment
update: daily transaksi multi payment
exclude transaksi with ent_metode 99
update: controller, view, model report gate, report recap period
update: query lalin gate where clause entrance and exit</t>
  </si>
  <si>
    <t>fasilitas list page
remove bg red
fix sidebar menu
list fasilitas
update: transaction detail &amp; transaction gate, row_bumer start from 1, child remove row number, fix duration on query
query: recap daily, monthly, period
query: update query entrance, exit, not exit daily, monthly &amp; period report
update: fix reporting transaksi detail dan gate
update: excel and pdf report trans detail</t>
  </si>
  <si>
    <t>Update Dockerfile
hidden routes management
update query fetch
crate UI management facility
layout facility type
update query fetch ITA pooling fetch</t>
  </si>
  <si>
    <t>w-fit
remove console.log
update
ignore git .env
rollback 1 commit, KM 10 take out avail and in use
set to default ITA user &amp; pass
bug fixe KM 10 SPKLU seeder
update: parent dont show pay waktu column, only child and expired status exit
resize logo reporting daily, monthly, period
update: add pay waktu column in transaksi detail</t>
  </si>
  <si>
    <t>update spklu overview
complete UI spklu overview
fix seeder facility, spbu, adn spklu</t>
  </si>
  <si>
    <t>Periode : April 2026</t>
  </si>
  <si>
    <t>Update Gitlab CI Dockerfile
update endpoint stream cctv
cctv page UI complete
update spklu table, datepicker default value dateNow()
update endpoint ita traffic report</t>
  </si>
  <si>
    <t>credentials false
add file conf for prod
allowed All origins
axios.js withCredentials: false
add config for pro
change credentials
remove access control allow credentials
disable access control allow credential</t>
  </si>
  <si>
    <t>fix: when check the checkbox then show dialog terms and condition
dialog: update button default disabled, active when scroll is on bottom</t>
  </si>
  <si>
    <t>style: scale camera template for KTP</t>
  </si>
  <si>
    <t>update new body ita (range date)
update new endpoint</t>
  </si>
  <si>
    <t>remove .env from repo
add file .settings.json</t>
  </si>
  <si>
    <t>add required filter toast
fix render loop, improve table component</t>
  </si>
  <si>
    <t>perpanjangankartu: hanya bisa oleh penerbit kartu tersebut
spbu page nfy
bug fix usePaginate set useState before component mount
update UI report traffic page add summary card each vehicle type
fix report visitor list
create DataTableContext
slicing UI mosque overview page
slicing UI ATM Overview
create activity page (toilet, atm, mosque, merchant)
fix responsive spbu overview
dynamic params to hit</t>
  </si>
  <si>
    <t>Add Gitlab CI
cek search filter on datatable</t>
  </si>
  <si>
    <t>update dashboard visitor API
add total vehicle type adn report visitor
update API visitor</t>
  </si>
  <si>
    <t>Merge branch 'main' of https://gitlab.jasamarga.co.id:8081/jmto-dev/web-kartu-dinas-frontend into dev/iot
Merge branch 'dev/iot' of https://gitlab.jasamarga.co.id:8081/jmto-dev/web-kartu-dinas-frontend into dev/iot
add sidebar
inital layout
feat: initial commit
fix static params path_parameter for useReportVisior
toilet overview clear UI
update template .env on .env.example</t>
  </si>
  <si>
    <t>create reange date
update responsive layout registrasi page
update layout
create layout registrasi and registrasi petugas</t>
  </si>
  <si>
    <t>feat: login
reset form when success
back to vite.config awal
bug fix: basicSsl not defined
nyoba ssl
add config server
insert data petugas dan guest
import App from '@src/pages/app' to import App from '@src/pages/App'
ref: rerfactor class tailwindcss abritrary values &amp; style: transform camera mirror in style
use protected routes</t>
  </si>
  <si>
    <t>add dialog when registrasi success or failed, and add two menus on sidebar...
add toggle sidebar when layout mobile
update: role permissions, user login, data kategori unit kerja fetch from API
update style inline error, create searchable select input, date range to start date and end date
hide login
lepas protected dan guest route
style: resopnsive table
list users</t>
  </si>
  <si>
    <t>update: dialog approve penerbit_id berdasarkan currentUser</t>
  </si>
  <si>
    <t>latest update bug fix hot fix test by dev
use page meta update dynamic for update page
add event history list
feat: update and delete users</t>
  </si>
  <si>
    <t>fix: pagination logic, sidebar close when click on display mobile, breadcrumbs</t>
  </si>
  <si>
    <t>fix: notification undefined penerbitId
update datepicker component</t>
  </si>
  <si>
    <t>update approval multi role:admin</t>
  </si>
  <si>
    <t>update handle response, response?.status -&gt; response?.data?.status</t>
  </si>
  <si>
    <t>fix update: whitelist update, jika ada perubahan data maka perlu upload ulang surat pengajuan
bug: update on edit registrasi when regional change -&gt; approval change to
bug: button kembali muncul di login seharusnya hide
add logout button for role resepsionis, add back button for admin role</t>
  </si>
  <si>
    <t>Periode : Mei 2026</t>
  </si>
  <si>
    <t>add: add featur stream cctv Traffic and visitor
KM88A cctv visitor
add: add API for cctv list visitor and traffic
fix: detail whitelist, handle undefined no_kartu registrasi page
validasi multi penerbit show error when penerbitID null/undefined</t>
  </si>
  <si>
    <t>add: menu cctv/parking &amp; cctv/spklu
add: api/cctv/parking &amp; api/cctv/spklu</t>
  </si>
  <si>
    <t>page: activity social media created
page: create page artikel monitoring
pages: page dashboard created</t>
  </si>
  <si>
    <t>add: tren report page created
add: stopword page created
add: manajemen company type created
add: manajemen account media created
add: confirm logout when click logout button on sidebar
style: update margin top filter button
style: update gap and font weight field
add: created social-media/perbandingan</t>
  </si>
  <si>
    <t>add: performance created (Interaksi, Pengikut)
pages: social-media/performance created
add: create tren report heatmap</t>
  </si>
  <si>
    <t>add: create tren report heatmap</t>
  </si>
  <si>
    <t>all cctv default, add pagination
update: used IP not domain intant, use sttaic x-api-key
dashboard load data from API
make dashboard API
update: authentication</t>
  </si>
  <si>
    <t>update: perbaikan pada default value datepicker, axios instance add withCredentials true
style: fallback style compnent
fallback: add 404 dan 403 page
publis: config/cors</t>
  </si>
  <si>
    <t>update: ketika tap langsung terbaca UID
style: collapsible filter
dashboard: add filter
update: API analysis</t>
  </si>
  <si>
    <t>update: add scan uid use nfc whitelist
add: component chart apex brand positioning
update: error aschild button can't render button</t>
  </si>
  <si>
    <t>update: download chart and pdf
page: create page geographic sentiment
create: leaflet map</t>
  </si>
  <si>
    <t>update: filter workcloud days 1, 7, 30
update: filter days 1, 7, 30</t>
  </si>
  <si>
    <t>update: stopword update enum value
rename spbu menus &amp; style 404 &amp; 403 page</t>
  </si>
  <si>
    <t>update: bulk verification socials
update: bulk verification article
update: stopword check done</t>
  </si>
  <si>
    <t>create: endpoint client (list, check)
style: update last update font text
style: format date last update
style: button bg-primary/10 change to bg-blue-50 and fix server error card jsx back button not found</t>
  </si>
  <si>
    <t>Periode : Juni 2026</t>
  </si>
  <si>
    <t>update: reporting trans detail duration parent ent_waktu &amp; exit_waktu, penyesuaian format pdf &amp; excel
update: query update transaction detail
update: Karyawan multi ruas</t>
  </si>
  <si>
    <t>update: fix bug</t>
  </si>
  <si>
    <t>update: update controller method group
update: add enpoint for group CRUD, update endpoint for docs</t>
  </si>
  <si>
    <t>update: naming group to company type, and enhance update method company type
add condition on trans_gate data.status != '-'</t>
  </si>
  <si>
    <t>update report recap gate
update: query lalin, revenue, exit entrance daily, monthly, dan periode
update: row number</t>
  </si>
  <si>
    <t>update: optimze query lalin, gate, daily, monthly
update: query static params to dynamic params
update query chart revenue and lalin dashboard / Home</t>
  </si>
  <si>
    <t>update: recap gate
update: query gate show notran</t>
  </si>
  <si>
    <t>update: ref qris tidak perlu jika paymethod true not false
dynamic row empty pendapatan gate</t>
  </si>
  <si>
    <t>update: gate recap
update: validasi
update: report</t>
  </si>
  <si>
    <t>select jenis kendaraan when data exist
update: lalin compare total
report recap gate optimize view &amp; gate report model refactor &amp; show lsb notran
mantap sekali 02:46 WIB baru beres, kelar dah gate recap
validasi fix case ent_metode 99
tiket to tunai in case pay method</t>
  </si>
  <si>
    <t>update: recap gate jomplang
report gate updated
update: export, gate recap</t>
  </si>
  <si>
    <t>udpate view trans detail
menyesuaikan query daily-monthly dan period
rollback multipayment: parent link to child to get exit gate id
update multipayment: parent link to child to get exit gate id</t>
  </si>
  <si>
    <t>alr to lsb bug
update: if ALR to ALR asal transaksi id
update: bug fix update rfid list after validasi
update:case:lsb tidak muncul di detail gate [fix query gate detail2]
validasi ALR to ALR update asal_transaksi_id
validasi ALR to ALR update asal_transaksi_id
update: hit tbl_transaksi_pair_list after validasi
update: report</t>
  </si>
  <si>
    <t>Menu Validasi, saat cari data entrance untuk tidak menampilkan data parent multipayment yang sudah dibayar dan exit statusnya sudah ada
Validasi ALR &gt; LSB, tidak update ke table rfid_transaksi di core</t>
  </si>
  <si>
    <t>Test Internal Travoy park entrance rfid mobil apps in travoy</t>
  </si>
  <si>
    <t>Sentiment Dashboard: fungsi manajemen settings</t>
  </si>
  <si>
    <t>Sentiment Dashboard: update badge sentiment</t>
  </si>
  <si>
    <t>Sentiment Dashboard: fix jenis perusahaan</t>
  </si>
  <si>
    <t>Update enpoint kartu dinas distribusi, menyiapkan encode kartu untuk testing integrator delameta</t>
  </si>
  <si>
    <t>Create new UI sentimen dashboard manajemen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</si>
</sst>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21]dd\ mmmm\ yyyy;@"/>
  </numFmts>
  <fonts count="1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b/>
      <u/>
      <sz val="11"/>
      <color theme="1"/>
      <name val="Calibri"/>
      <family val="2"/>
      <scheme val="minor"/>
    </font>
    <font>
      <b/>
      <sz val="11"/>
      <color theme="1"/>
      <name val="Trebuchet MS"/>
      <family val="2"/>
    </font>
    <font>
      <sz val="11"/>
      <color theme="1"/>
      <name val="Trebuchet MS"/>
      <family val="2"/>
    </font>
    <font>
      <b/>
      <sz val="12"/>
      <color rgb="FF000000"/>
      <name val="Trebuchet MS"/>
      <family val="2"/>
    </font>
    <font>
      <sz val="12"/>
      <color theme="1"/>
      <name val="Calibri"/>
      <family val="2"/>
      <scheme val="minor"/>
    </font>
    <font>
      <sz val="12"/>
      <name val="Consolas"/>
      <family val="3"/>
    </font>
    <font>
      <b/>
      <sz val="12"/>
      <color rgb="FF000000"/>
      <name val="Calibri"/>
      <family val="2"/>
      <scheme val="minor"/>
    </font>
    <font>
      <sz val="12"/>
      <name val="Calibri"/>
      <family val="2"/>
      <scheme val="minor"/>
    </font>
  </fonts>
  <fills count="6">
    <fill>
      <patternFill patternType="none"/>
    </fill>
    <fill>
      <patternFill patternType="gray125"/>
    </fill>
    <fill>
      <patternFill patternType="solid">
        <fgColor rgb="FFBFBFBF"/>
        <bgColor indexed="64"/>
      </patternFill>
    </fill>
    <fill>
      <patternFill patternType="solid">
        <fgColor theme="5" tint="0.79998168889431442"/>
        <bgColor indexed="64"/>
      </patternFill>
    </fill>
    <fill>
      <patternFill patternType="solid">
        <fgColor theme="0"/>
        <bgColor indexed="64"/>
      </patternFill>
    </fill>
    <fill>
      <patternFill patternType="solid">
        <fgColor rgb="FFFFCCCC"/>
        <bgColor indexed="64"/>
      </patternFill>
    </fill>
  </fills>
  <borders count="17">
    <border>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indexed="64"/>
      </bottom>
      <diagonal/>
    </border>
    <border>
      <left style="medium">
        <color auto="1"/>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thin">
        <color auto="1"/>
      </right>
      <top/>
      <bottom style="thin">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auto="1"/>
      </left>
      <right style="medium">
        <color indexed="64"/>
      </right>
      <top style="medium">
        <color auto="1"/>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medium">
        <color indexed="64"/>
      </left>
      <right style="thin">
        <color auto="1"/>
      </right>
      <top/>
      <bottom style="medium">
        <color indexed="64"/>
      </bottom>
      <diagonal/>
    </border>
    <border>
      <left style="medium">
        <color auto="1"/>
      </left>
      <right style="medium">
        <color auto="1"/>
      </right>
      <top/>
      <bottom style="medium">
        <color auto="1"/>
      </bottom>
      <diagonal/>
    </border>
    <border>
      <left style="medium">
        <color indexed="64"/>
      </left>
      <right style="thin">
        <color auto="1"/>
      </right>
      <top/>
      <bottom style="thin">
        <color auto="1"/>
      </bottom>
      <diagonal/>
    </border>
  </borders>
  <cellStyleXfs count="1">
    <xf numFmtId="0" fontId="0" fillId="0" borderId="0"/>
  </cellStyleXfs>
  <cellXfs count="69">
    <xf numFmtId="0" fontId="0" fillId="0" borderId="0" xfId="0"/>
    <xf numFmtId="0" fontId="0" fillId="0" borderId="0" xfId="0" applyAlignment="1">
      <alignment horizontal="center" vertical="center"/>
    </xf>
    <xf numFmtId="0" fontId="0" fillId="0" borderId="0" xfId="0" applyAlignment="1">
      <alignment vertical="center"/>
    </xf>
    <xf numFmtId="0" fontId="4" fillId="0" borderId="0" xfId="0" applyFont="1" applyAlignment="1">
      <alignment horizontal="left" vertical="top"/>
    </xf>
    <xf numFmtId="0" fontId="4" fillId="0" borderId="0" xfId="0" applyFont="1" applyAlignment="1">
      <alignment horizontal="center" vertical="center"/>
    </xf>
    <xf numFmtId="0" fontId="0" fillId="0" borderId="0" xfId="0" applyAlignment="1">
      <alignment horizontal="center"/>
    </xf>
    <xf numFmtId="0" fontId="0" fillId="0" borderId="0" xfId="0" applyAlignment="1">
      <alignment horizontal="left" wrapText="1"/>
    </xf>
    <xf numFmtId="0" fontId="6" fillId="0" borderId="0" xfId="0" applyFont="1" applyAlignment="1">
      <alignment horizontal="center" vertical="center"/>
    </xf>
    <xf numFmtId="0" fontId="6" fillId="0" borderId="0" xfId="0" applyFont="1" applyAlignment="1">
      <alignment horizontal="left" vertical="center" wrapText="1"/>
    </xf>
    <xf numFmtId="0" fontId="6" fillId="0" borderId="0" xfId="0" applyFont="1" applyAlignment="1">
      <alignment vertical="center"/>
    </xf>
    <xf numFmtId="0" fontId="3" fillId="0" borderId="0" xfId="0" applyFont="1" applyAlignment="1">
      <alignment horizontal="left" vertical="center"/>
    </xf>
    <xf numFmtId="0" fontId="0" fillId="0" borderId="0" xfId="0" applyAlignment="1">
      <alignment horizontal="right" vertical="center"/>
    </xf>
    <xf numFmtId="0" fontId="4" fillId="0" borderId="0" xfId="0" applyFont="1" applyAlignment="1">
      <alignment horizontal="right" vertical="center"/>
    </xf>
    <xf numFmtId="164" fontId="0" fillId="0" borderId="0" xfId="0" applyNumberFormat="1" applyAlignment="1">
      <alignment horizontal="center" vertical="center"/>
    </xf>
    <xf numFmtId="0" fontId="2" fillId="0" borderId="0" xfId="0" applyFont="1" applyAlignment="1">
      <alignment horizontal="right" vertical="center"/>
    </xf>
    <xf numFmtId="164" fontId="8" fillId="3" borderId="4" xfId="0" applyNumberFormat="1" applyFont="1" applyFill="1" applyBorder="1" applyAlignment="1">
      <alignment horizontal="center" vertical="center"/>
    </xf>
    <xf numFmtId="0" fontId="8" fillId="5" borderId="3" xfId="0" applyFont="1" applyFill="1" applyBorder="1" applyAlignment="1">
      <alignment horizontal="center" vertical="center"/>
    </xf>
    <xf numFmtId="0" fontId="8" fillId="5" borderId="8" xfId="0" applyFont="1" applyFill="1" applyBorder="1" applyAlignment="1">
      <alignment horizontal="left" vertical="center" wrapText="1"/>
    </xf>
    <xf numFmtId="0" fontId="8" fillId="4" borderId="3" xfId="0" applyFont="1" applyFill="1" applyBorder="1" applyAlignment="1">
      <alignment horizontal="center" vertical="center"/>
    </xf>
    <xf numFmtId="0" fontId="8" fillId="4" borderId="8" xfId="0" applyFont="1" applyFill="1" applyBorder="1" applyAlignment="1">
      <alignment horizontal="left" vertical="center" wrapText="1"/>
    </xf>
    <xf numFmtId="0" fontId="9" fillId="0" borderId="8" xfId="0" applyFont="1" applyBorder="1" applyAlignment="1">
      <alignment horizontal="left" vertical="center" wrapText="1"/>
    </xf>
    <xf numFmtId="0" fontId="8" fillId="0" borderId="8" xfId="0" applyFont="1" applyBorder="1" applyAlignment="1">
      <alignment vertical="center"/>
    </xf>
    <xf numFmtId="0" fontId="8" fillId="5" borderId="8" xfId="0" applyFont="1" applyFill="1" applyBorder="1" applyAlignment="1">
      <alignment vertical="center"/>
    </xf>
    <xf numFmtId="0" fontId="8" fillId="0" borderId="8" xfId="0" applyFont="1" applyBorder="1" applyAlignment="1">
      <alignment vertical="center" wrapText="1"/>
    </xf>
    <xf numFmtId="0" fontId="8" fillId="0" borderId="8" xfId="0" applyFont="1" applyBorder="1" applyAlignment="1">
      <alignment horizontal="left" wrapText="1"/>
    </xf>
    <xf numFmtId="164" fontId="8" fillId="3" borderId="5" xfId="0" applyNumberFormat="1" applyFont="1" applyFill="1" applyBorder="1" applyAlignment="1">
      <alignment horizontal="center" vertical="center"/>
    </xf>
    <xf numFmtId="0" fontId="8" fillId="4" borderId="6" xfId="0" applyFont="1" applyFill="1" applyBorder="1" applyAlignment="1">
      <alignment horizontal="center" vertical="center"/>
    </xf>
    <xf numFmtId="0" fontId="8" fillId="4" borderId="9" xfId="0" applyFont="1" applyFill="1" applyBorder="1" applyAlignment="1">
      <alignment horizontal="left" vertical="center" wrapText="1"/>
    </xf>
    <xf numFmtId="0" fontId="11" fillId="0" borderId="8" xfId="0" applyFont="1" applyBorder="1" applyAlignment="1">
      <alignment vertical="center" wrapText="1"/>
    </xf>
    <xf numFmtId="0" fontId="8" fillId="0" borderId="8" xfId="0" applyFont="1" applyBorder="1" applyAlignment="1">
      <alignment wrapText="1"/>
    </xf>
    <xf numFmtId="0" fontId="11" fillId="5" borderId="8" xfId="0" applyFont="1" applyFill="1" applyBorder="1" applyAlignment="1">
      <alignment vertical="center"/>
    </xf>
    <xf numFmtId="0" fontId="8" fillId="0" borderId="9" xfId="0" applyFont="1" applyBorder="1" applyAlignment="1">
      <alignment horizontal="left" wrapText="1"/>
    </xf>
    <xf numFmtId="0" fontId="8" fillId="5" borderId="8" xfId="0" applyFont="1" applyFill="1" applyBorder="1" applyAlignment="1">
      <alignment wrapText="1"/>
    </xf>
    <xf numFmtId="0" fontId="8" fillId="0" borderId="8" xfId="0" applyFont="1" applyBorder="1"/>
    <xf numFmtId="0" fontId="8" fillId="5" borderId="8" xfId="0" applyFont="1" applyFill="1" applyBorder="1"/>
    <xf numFmtId="0" fontId="11" fillId="0" borderId="8" xfId="0" applyFont="1" applyBorder="1" applyAlignment="1">
      <alignment vertical="center"/>
    </xf>
    <xf numFmtId="164" fontId="8" fillId="3" borderId="2" xfId="0" applyNumberFormat="1" applyFont="1" applyFill="1" applyBorder="1" applyAlignment="1">
      <alignment horizontal="center" vertical="center"/>
    </xf>
    <xf numFmtId="0" fontId="8" fillId="4" borderId="7" xfId="0" applyFont="1" applyFill="1" applyBorder="1" applyAlignment="1">
      <alignment horizontal="center" vertical="center"/>
    </xf>
    <xf numFmtId="0" fontId="8" fillId="4" borderId="11" xfId="0" applyFont="1" applyFill="1" applyBorder="1" applyAlignment="1">
      <alignment horizontal="left" vertical="center" wrapText="1"/>
    </xf>
    <xf numFmtId="0" fontId="8" fillId="5" borderId="7" xfId="0" applyFont="1" applyFill="1" applyBorder="1" applyAlignment="1">
      <alignment horizontal="center" vertical="center"/>
    </xf>
    <xf numFmtId="0" fontId="8" fillId="5" borderId="11" xfId="0" applyFont="1" applyFill="1" applyBorder="1"/>
    <xf numFmtId="0" fontId="8" fillId="5" borderId="11" xfId="0" applyFont="1" applyFill="1" applyBorder="1" applyAlignment="1">
      <alignment wrapText="1"/>
    </xf>
    <xf numFmtId="0" fontId="8" fillId="5" borderId="11" xfId="0" applyFont="1" applyFill="1" applyBorder="1" applyAlignment="1">
      <alignment horizontal="left" vertical="center" wrapText="1"/>
    </xf>
    <xf numFmtId="0" fontId="1" fillId="0" borderId="0" xfId="0" applyFont="1" applyAlignment="1">
      <alignment horizontal="right" vertical="center"/>
    </xf>
    <xf numFmtId="0" fontId="8" fillId="0" borderId="7" xfId="0" applyFont="1" applyBorder="1" applyAlignment="1">
      <alignment horizontal="center" vertical="center"/>
    </xf>
    <xf numFmtId="0" fontId="8" fillId="0" borderId="8" xfId="0" applyFont="1" applyBorder="1" applyAlignment="1">
      <alignment horizontal="left" vertical="center" wrapText="1"/>
    </xf>
    <xf numFmtId="0" fontId="8" fillId="0" borderId="3" xfId="0" applyFont="1" applyBorder="1" applyAlignment="1">
      <alignment horizontal="center" vertical="center"/>
    </xf>
    <xf numFmtId="164" fontId="8" fillId="3" borderId="14" xfId="0" applyNumberFormat="1" applyFont="1" applyFill="1" applyBorder="1" applyAlignment="1">
      <alignment horizontal="center" vertical="center"/>
    </xf>
    <xf numFmtId="49" fontId="11" fillId="0" borderId="8" xfId="0" applyNumberFormat="1" applyFont="1" applyBorder="1" applyAlignment="1">
      <alignment vertical="center" wrapText="1"/>
    </xf>
    <xf numFmtId="0" fontId="0" fillId="0" borderId="8" xfId="0" applyBorder="1" applyAlignment="1">
      <alignment vertical="center"/>
    </xf>
    <xf numFmtId="49" fontId="8" fillId="0" borderId="8" xfId="0" applyNumberFormat="1" applyFont="1" applyBorder="1" applyAlignment="1">
      <alignment wrapText="1"/>
    </xf>
    <xf numFmtId="0" fontId="5" fillId="0" borderId="0" xfId="0" applyFont="1" applyAlignment="1">
      <alignment horizontal="center" vertical="center"/>
    </xf>
    <xf numFmtId="0" fontId="0" fillId="0" borderId="0" xfId="0" applyAlignment="1">
      <alignment horizontal="center"/>
    </xf>
    <xf numFmtId="0" fontId="0" fillId="0" borderId="0" xfId="0" applyAlignment="1">
      <alignment horizontal="left" wrapText="1"/>
    </xf>
    <xf numFmtId="0" fontId="5" fillId="0" borderId="0" xfId="0" applyFont="1" applyAlignment="1">
      <alignment horizontal="left" vertical="center"/>
    </xf>
    <xf numFmtId="0" fontId="7" fillId="2" borderId="13" xfId="0" applyFont="1" applyFill="1" applyBorder="1" applyAlignment="1">
      <alignment horizontal="center" vertical="center"/>
    </xf>
    <xf numFmtId="0" fontId="0" fillId="0" borderId="7" xfId="0" applyBorder="1"/>
    <xf numFmtId="0" fontId="7" fillId="2" borderId="10" xfId="0" applyFont="1" applyFill="1" applyBorder="1" applyAlignment="1">
      <alignment horizontal="center" vertical="center" wrapText="1"/>
    </xf>
    <xf numFmtId="0" fontId="0" fillId="0" borderId="11" xfId="0" applyBorder="1"/>
    <xf numFmtId="0" fontId="7" fillId="2" borderId="12" xfId="0" applyFont="1" applyFill="1" applyBorder="1" applyAlignment="1">
      <alignment horizontal="center" vertical="center"/>
    </xf>
    <xf numFmtId="0" fontId="0" fillId="0" borderId="16" xfId="0" applyBorder="1"/>
    <xf numFmtId="0" fontId="7" fillId="2" borderId="1" xfId="0" applyFont="1" applyFill="1" applyBorder="1" applyAlignment="1">
      <alignment horizontal="center" vertical="center"/>
    </xf>
    <xf numFmtId="0" fontId="0" fillId="0" borderId="15" xfId="0" applyBorder="1"/>
    <xf numFmtId="0" fontId="7" fillId="2" borderId="1" xfId="0" applyFont="1" applyFill="1" applyBorder="1" applyAlignment="1">
      <alignment horizontal="center" vertical="center" wrapText="1"/>
    </xf>
    <xf numFmtId="0" fontId="10" fillId="2" borderId="13" xfId="0" applyFont="1" applyFill="1" applyBorder="1" applyAlignment="1">
      <alignment horizontal="center" vertical="center"/>
    </xf>
    <xf numFmtId="0" fontId="10" fillId="2" borderId="10" xfId="0" applyFont="1" applyFill="1" applyBorder="1" applyAlignment="1">
      <alignment horizontal="center" vertical="center" wrapText="1"/>
    </xf>
    <xf numFmtId="0" fontId="10" fillId="2" borderId="12"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1" xfId="0" applyFont="1" applyFill="1" applyBorder="1" applyAlignment="1">
      <alignment horizontal="center" vertical="center" wrapText="1"/>
    </xf>
  </cellXfs>
  <cellStyles count="1">
    <cellStyle name="Normal" xfId="0" builtinId="0"/>
  </cellStyles>
  <dxfs count="42">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49"/>
  <sheetViews>
    <sheetView view="pageBreakPreview" topLeftCell="A38" zoomScale="70" zoomScaleNormal="56" zoomScaleSheetLayoutView="70" workbookViewId="0">
      <selection activeCell="B8" sqref="B8:D9"/>
    </sheetView>
  </sheetViews>
  <sheetFormatPr defaultColWidth="9" defaultRowHeight="14.25"/>
  <cols>
    <col min="1" max="1" width="10.19921875" customWidth="1"/>
    <col min="2" max="2" width="28.9296875" bestFit="1" customWidth="1"/>
    <col min="3" max="3" width="11.1328125" style="5" bestFit="1" customWidth="1"/>
    <col min="4" max="4" width="155.9296875" style="6" customWidth="1"/>
    <col min="5" max="5" width="10.19921875" customWidth="1"/>
  </cols>
  <sheetData>
    <row r="2" spans="2:4" ht="25.5" customHeight="1">
      <c r="B2" s="51" t="s">
        <v>0</v>
      </c>
      <c r="C2" s="52"/>
      <c r="D2" s="53"/>
    </row>
    <row r="3" spans="2:4" ht="25.5" customHeight="1">
      <c r="B3" s="51" t="s">
        <v>27</v>
      </c>
      <c r="C3" s="52"/>
      <c r="D3" s="53"/>
    </row>
    <row r="4" spans="2:4">
      <c r="B4" s="7"/>
      <c r="C4" s="7"/>
      <c r="D4" s="8"/>
    </row>
    <row r="5" spans="2:4">
      <c r="B5" s="54" t="s">
        <v>2</v>
      </c>
      <c r="C5" s="52"/>
      <c r="D5" s="53"/>
    </row>
    <row r="6" spans="2:4">
      <c r="B6" s="54" t="s">
        <v>3</v>
      </c>
      <c r="C6" s="52"/>
      <c r="D6" s="53"/>
    </row>
    <row r="7" spans="2:4" ht="14.65" customHeight="1" thickBot="1">
      <c r="B7" s="9"/>
      <c r="C7" s="7"/>
      <c r="D7" s="8"/>
    </row>
    <row r="8" spans="2:4" ht="14.65" customHeight="1" thickBot="1">
      <c r="B8" s="61" t="s">
        <v>4</v>
      </c>
      <c r="C8" s="61" t="s">
        <v>5</v>
      </c>
      <c r="D8" s="63" t="s">
        <v>6</v>
      </c>
    </row>
    <row r="9" spans="2:4" ht="14.65" customHeight="1" thickBot="1">
      <c r="B9" s="62"/>
      <c r="C9" s="62"/>
      <c r="D9" s="62"/>
    </row>
    <row r="10" spans="2:4" s="2" customFormat="1" ht="15.75" customHeight="1">
      <c r="B10" s="36">
        <v>46023</v>
      </c>
      <c r="C10" s="39" t="str">
        <f t="shared" ref="C10:C40" si="0">TEXT(B10,"dddd")</f>
        <v>Thursday</v>
      </c>
      <c r="D10" s="42"/>
    </row>
    <row r="11" spans="2:4" s="2" customFormat="1" ht="31.5" customHeight="1">
      <c r="B11" s="15">
        <v>46024</v>
      </c>
      <c r="C11" s="18" t="str">
        <f t="shared" si="0"/>
        <v>Friday</v>
      </c>
      <c r="D11" s="19" t="s">
        <v>28</v>
      </c>
    </row>
    <row r="12" spans="2:4" s="2" customFormat="1" ht="15.75" customHeight="1">
      <c r="B12" s="15">
        <v>46025</v>
      </c>
      <c r="C12" s="18" t="str">
        <f t="shared" si="0"/>
        <v>Saturday</v>
      </c>
      <c r="D12" s="19"/>
    </row>
    <row r="13" spans="2:4" s="2" customFormat="1" ht="15.75" customHeight="1">
      <c r="B13" s="15">
        <v>46026</v>
      </c>
      <c r="C13" s="18" t="str">
        <f t="shared" si="0"/>
        <v>Sunday</v>
      </c>
      <c r="D13" s="19"/>
    </row>
    <row r="14" spans="2:4" s="2" customFormat="1" ht="31.5" customHeight="1">
      <c r="B14" s="15">
        <v>46027</v>
      </c>
      <c r="C14" s="18" t="str">
        <f t="shared" si="0"/>
        <v>Monday</v>
      </c>
      <c r="D14" s="19" t="s">
        <v>29</v>
      </c>
    </row>
    <row r="15" spans="2:4" s="2" customFormat="1" ht="15.75" customHeight="1">
      <c r="B15" s="15">
        <v>46028</v>
      </c>
      <c r="C15" s="18" t="str">
        <f t="shared" si="0"/>
        <v>Tuesday</v>
      </c>
      <c r="D15" s="19" t="s">
        <v>30</v>
      </c>
    </row>
    <row r="16" spans="2:4" s="2" customFormat="1" ht="31.5" customHeight="1">
      <c r="B16" s="15">
        <v>46029</v>
      </c>
      <c r="C16" s="18" t="str">
        <f t="shared" si="0"/>
        <v>Wednesday</v>
      </c>
      <c r="D16" s="19" t="s">
        <v>31</v>
      </c>
    </row>
    <row r="17" spans="2:4" s="2" customFormat="1" ht="15.75" customHeight="1">
      <c r="B17" s="15">
        <v>46030</v>
      </c>
      <c r="C17" s="18" t="str">
        <f t="shared" si="0"/>
        <v>Thursday</v>
      </c>
      <c r="D17" s="20" t="s">
        <v>32</v>
      </c>
    </row>
    <row r="18" spans="2:4" s="2" customFormat="1" ht="15.75" customHeight="1">
      <c r="B18" s="15">
        <v>46031</v>
      </c>
      <c r="C18" s="18" t="str">
        <f t="shared" si="0"/>
        <v>Friday</v>
      </c>
      <c r="D18" s="19" t="s">
        <v>33</v>
      </c>
    </row>
    <row r="19" spans="2:4" s="2" customFormat="1" ht="15.75" customHeight="1">
      <c r="B19" s="15">
        <v>46032</v>
      </c>
      <c r="C19" s="18" t="str">
        <f t="shared" si="0"/>
        <v>Saturday</v>
      </c>
      <c r="D19" s="19"/>
    </row>
    <row r="20" spans="2:4" s="2" customFormat="1" ht="15.75" customHeight="1">
      <c r="B20" s="15">
        <v>46033</v>
      </c>
      <c r="C20" s="18" t="str">
        <f t="shared" si="0"/>
        <v>Sunday</v>
      </c>
      <c r="D20" s="19"/>
    </row>
    <row r="21" spans="2:4" s="2" customFormat="1" ht="47.25" customHeight="1">
      <c r="B21" s="15">
        <v>46034</v>
      </c>
      <c r="C21" s="18" t="str">
        <f t="shared" si="0"/>
        <v>Monday</v>
      </c>
      <c r="D21" s="19" t="s">
        <v>34</v>
      </c>
    </row>
    <row r="22" spans="2:4" s="2" customFormat="1" ht="15.75" customHeight="1">
      <c r="B22" s="15">
        <v>46035</v>
      </c>
      <c r="C22" s="18" t="str">
        <f t="shared" si="0"/>
        <v>Tuesday</v>
      </c>
      <c r="D22" s="19" t="s">
        <v>35</v>
      </c>
    </row>
    <row r="23" spans="2:4" s="2" customFormat="1" ht="15.75" customHeight="1">
      <c r="B23" s="15">
        <v>46036</v>
      </c>
      <c r="C23" s="18" t="str">
        <f t="shared" si="0"/>
        <v>Wednesday</v>
      </c>
      <c r="D23" s="19" t="s">
        <v>36</v>
      </c>
    </row>
    <row r="24" spans="2:4" s="2" customFormat="1" ht="15.75" customHeight="1">
      <c r="B24" s="15">
        <v>46037</v>
      </c>
      <c r="C24" s="18" t="str">
        <f t="shared" si="0"/>
        <v>Thursday</v>
      </c>
      <c r="D24" s="21" t="s">
        <v>37</v>
      </c>
    </row>
    <row r="25" spans="2:4" s="2" customFormat="1" ht="15.75" customHeight="1">
      <c r="B25" s="15">
        <v>46038</v>
      </c>
      <c r="C25" s="16" t="str">
        <f t="shared" si="0"/>
        <v>Friday</v>
      </c>
      <c r="D25" s="22"/>
    </row>
    <row r="26" spans="2:4" s="2" customFormat="1" ht="15.75" customHeight="1">
      <c r="B26" s="15">
        <v>46039</v>
      </c>
      <c r="C26" s="18" t="str">
        <f t="shared" si="0"/>
        <v>Saturday</v>
      </c>
      <c r="D26" s="19"/>
    </row>
    <row r="27" spans="2:4" s="2" customFormat="1" ht="15.75" customHeight="1">
      <c r="B27" s="15">
        <v>46040</v>
      </c>
      <c r="C27" s="18" t="str">
        <f t="shared" si="0"/>
        <v>Sunday</v>
      </c>
      <c r="D27" s="19"/>
    </row>
    <row r="28" spans="2:4" s="2" customFormat="1" ht="31.5" customHeight="1">
      <c r="B28" s="15">
        <v>46041</v>
      </c>
      <c r="C28" s="18" t="str">
        <f t="shared" si="0"/>
        <v>Monday</v>
      </c>
      <c r="D28" s="23" t="s">
        <v>38</v>
      </c>
    </row>
    <row r="29" spans="2:4" s="2" customFormat="1" ht="15.75" customHeight="1">
      <c r="B29" s="15">
        <v>46042</v>
      </c>
      <c r="C29" s="18" t="str">
        <f t="shared" si="0"/>
        <v>Tuesday</v>
      </c>
      <c r="D29" s="21" t="s">
        <v>39</v>
      </c>
    </row>
    <row r="30" spans="2:4" s="2" customFormat="1" ht="15.75" customHeight="1">
      <c r="B30" s="15">
        <v>46043</v>
      </c>
      <c r="C30" s="18" t="str">
        <f t="shared" si="0"/>
        <v>Wednesday</v>
      </c>
      <c r="D30" s="21" t="s">
        <v>40</v>
      </c>
    </row>
    <row r="31" spans="2:4" s="2" customFormat="1" ht="15.75" customHeight="1">
      <c r="B31" s="15">
        <v>46044</v>
      </c>
      <c r="C31" s="18" t="str">
        <f t="shared" si="0"/>
        <v>Thursday</v>
      </c>
      <c r="D31" s="19" t="s">
        <v>41</v>
      </c>
    </row>
    <row r="32" spans="2:4" s="2" customFormat="1" ht="15.75" customHeight="1">
      <c r="B32" s="15">
        <v>46045</v>
      </c>
      <c r="C32" s="18" t="str">
        <f t="shared" si="0"/>
        <v>Friday</v>
      </c>
      <c r="D32" s="19" t="s">
        <v>42</v>
      </c>
    </row>
    <row r="33" spans="2:6" s="2" customFormat="1" ht="15.75" customHeight="1">
      <c r="B33" s="15">
        <v>46046</v>
      </c>
      <c r="C33" s="18" t="str">
        <f t="shared" si="0"/>
        <v>Saturday</v>
      </c>
      <c r="D33" s="19"/>
    </row>
    <row r="34" spans="2:6" s="2" customFormat="1" ht="15.75" customHeight="1">
      <c r="B34" s="15">
        <v>46047</v>
      </c>
      <c r="C34" s="18" t="str">
        <f t="shared" si="0"/>
        <v>Sunday</v>
      </c>
      <c r="D34" s="19"/>
    </row>
    <row r="35" spans="2:6" s="2" customFormat="1" ht="173.25" customHeight="1">
      <c r="B35" s="15">
        <v>46048</v>
      </c>
      <c r="C35" s="18" t="str">
        <f t="shared" si="0"/>
        <v>Monday</v>
      </c>
      <c r="D35" s="23" t="s">
        <v>43</v>
      </c>
    </row>
    <row r="36" spans="2:6" s="2" customFormat="1" ht="63" customHeight="1">
      <c r="B36" s="15">
        <v>46049</v>
      </c>
      <c r="C36" s="18" t="str">
        <f t="shared" si="0"/>
        <v>Tuesday</v>
      </c>
      <c r="D36" s="19" t="s">
        <v>44</v>
      </c>
    </row>
    <row r="37" spans="2:6" ht="157.5" customHeight="1">
      <c r="B37" s="15">
        <v>46050</v>
      </c>
      <c r="C37" s="18" t="str">
        <f t="shared" si="0"/>
        <v>Wednesday</v>
      </c>
      <c r="D37" s="24" t="s">
        <v>45</v>
      </c>
    </row>
    <row r="38" spans="2:6" ht="63" customHeight="1">
      <c r="B38" s="15">
        <v>46051</v>
      </c>
      <c r="C38" s="18" t="str">
        <f t="shared" si="0"/>
        <v>Thursday</v>
      </c>
      <c r="D38" s="19" t="s">
        <v>46</v>
      </c>
      <c r="F38" s="1"/>
    </row>
    <row r="39" spans="2:6" ht="346.5" customHeight="1">
      <c r="B39" s="15">
        <v>46052</v>
      </c>
      <c r="C39" s="18" t="str">
        <f t="shared" si="0"/>
        <v>Friday</v>
      </c>
      <c r="D39" s="19" t="s">
        <v>47</v>
      </c>
      <c r="F39" s="1"/>
    </row>
    <row r="40" spans="2:6" ht="16.149999999999999" customHeight="1" thickBot="1">
      <c r="B40" s="25">
        <v>46053</v>
      </c>
      <c r="C40" s="26" t="str">
        <f t="shared" si="0"/>
        <v>Saturday</v>
      </c>
      <c r="D40" s="27"/>
      <c r="F40" s="1"/>
    </row>
    <row r="41" spans="2:6">
      <c r="B41" s="13"/>
      <c r="F41" s="1"/>
    </row>
    <row r="42" spans="2:6">
      <c r="B42" s="10" t="s">
        <v>21</v>
      </c>
      <c r="C42" s="1"/>
      <c r="D42" s="14" t="s">
        <v>48</v>
      </c>
      <c r="E42" s="1"/>
      <c r="F42" s="2"/>
    </row>
    <row r="43" spans="2:6">
      <c r="B43" s="1"/>
      <c r="C43" s="1"/>
      <c r="D43" s="11"/>
      <c r="E43" s="1"/>
      <c r="F43" s="2"/>
    </row>
    <row r="44" spans="2:6">
      <c r="B44" s="1"/>
      <c r="C44" s="1"/>
      <c r="D44" s="11"/>
      <c r="E44" s="1"/>
      <c r="F44" s="1"/>
    </row>
    <row r="45" spans="2:6">
      <c r="B45" s="1"/>
      <c r="C45" s="1"/>
      <c r="D45" s="11"/>
      <c r="E45" s="1"/>
      <c r="F45" s="1"/>
    </row>
    <row r="46" spans="2:6">
      <c r="B46" s="1"/>
      <c r="C46" s="1"/>
      <c r="D46" s="11"/>
      <c r="E46" s="1"/>
      <c r="F46" s="1"/>
    </row>
    <row r="47" spans="2:6">
      <c r="B47" s="3" t="s">
        <v>23</v>
      </c>
      <c r="C47" s="1"/>
      <c r="D47" s="12" t="s">
        <v>24</v>
      </c>
      <c r="E47" s="1"/>
      <c r="F47" s="1"/>
    </row>
    <row r="48" spans="2:6">
      <c r="B48" s="10" t="s">
        <v>25</v>
      </c>
      <c r="C48" s="1"/>
      <c r="D48" s="14" t="s">
        <v>26</v>
      </c>
      <c r="E48" s="4"/>
      <c r="F48" s="1"/>
    </row>
    <row r="49" spans="2:5">
      <c r="B49" s="10"/>
      <c r="C49" s="1"/>
      <c r="D49" s="1"/>
      <c r="E49" s="1"/>
    </row>
  </sheetData>
  <mergeCells count="7">
    <mergeCell ref="B2:D2"/>
    <mergeCell ref="B3:D3"/>
    <mergeCell ref="B5:D5"/>
    <mergeCell ref="C8:C9"/>
    <mergeCell ref="D8:D9"/>
    <mergeCell ref="B8:B9"/>
    <mergeCell ref="B6:D6"/>
  </mergeCells>
  <conditionalFormatting sqref="C10:D10 C11 C12:D16 C17 C18:D22 C23:C25 C26:D27 C28:C30 C31:D34 C35:C38 C39:D40">
    <cfRule type="expression" dxfId="41" priority="1">
      <formula>OR($C10="Saturday",$C10="Sunday")</formula>
    </cfRule>
    <cfRule type="expression" dxfId="40" priority="2">
      <formula>OR($A10="Saturday",$A10="Sunday")</formula>
    </cfRule>
  </conditionalFormatting>
  <conditionalFormatting sqref="D11">
    <cfRule type="expression" dxfId="39" priority="21">
      <formula>OR($C17="Saturday",$C17="Sunday")</formula>
    </cfRule>
    <cfRule type="expression" dxfId="38" priority="22">
      <formula>OR($A17="Saturday",$A17="Sunday")</formula>
    </cfRule>
  </conditionalFormatting>
  <conditionalFormatting sqref="D14:D16">
    <cfRule type="expression" dxfId="37" priority="25">
      <formula>OR($C23="Saturday",$C23="Sunday")</formula>
    </cfRule>
    <cfRule type="expression" dxfId="36" priority="26">
      <formula>OR($A23="Saturday",$A23="Sunday")</formula>
    </cfRule>
  </conditionalFormatting>
  <conditionalFormatting sqref="D22:D23">
    <cfRule type="expression" dxfId="35" priority="29">
      <formula>OR($C29="Saturday",$C29="Sunday")</formula>
    </cfRule>
    <cfRule type="expression" dxfId="34" priority="30">
      <formula>OR($A29="Saturday",$A29="Sunday")</formula>
    </cfRule>
  </conditionalFormatting>
  <conditionalFormatting sqref="D36 D38">
    <cfRule type="expression" dxfId="33" priority="5">
      <formula>OR($C35="Saturday",$C35="Sunday")</formula>
    </cfRule>
    <cfRule type="expression" dxfId="32" priority="6">
      <formula>OR($A35="Saturday",$A35="Sunday")</formula>
    </cfRule>
  </conditionalFormatting>
  <pageMargins left="0.7" right="0.7" top="0.75" bottom="0.75" header="0.3" footer="0.3"/>
  <pageSetup paperSize="9" scale="4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49"/>
  <sheetViews>
    <sheetView view="pageBreakPreview" zoomScale="60" zoomScaleNormal="142" workbookViewId="0">
      <selection activeCell="B8" sqref="B8:D9"/>
    </sheetView>
  </sheetViews>
  <sheetFormatPr defaultColWidth="9" defaultRowHeight="14.25"/>
  <cols>
    <col min="1" max="1" width="10.19921875" customWidth="1"/>
    <col min="2" max="2" width="29.19921875" bestFit="1" customWidth="1"/>
    <col min="3" max="3" width="11.06640625" style="5" bestFit="1" customWidth="1"/>
    <col min="4" max="4" width="155.86328125" style="6" customWidth="1"/>
    <col min="5" max="5" width="10.19921875" customWidth="1"/>
  </cols>
  <sheetData>
    <row r="2" spans="2:4" ht="25.5" customHeight="1">
      <c r="B2" s="51" t="s">
        <v>0</v>
      </c>
      <c r="C2" s="52"/>
      <c r="D2" s="53"/>
    </row>
    <row r="3" spans="2:4" ht="25.5" customHeight="1">
      <c r="B3" s="51" t="s">
        <v>49</v>
      </c>
      <c r="C3" s="52"/>
      <c r="D3" s="53"/>
    </row>
    <row r="4" spans="2:4">
      <c r="B4" s="7"/>
      <c r="C4" s="7"/>
      <c r="D4" s="8"/>
    </row>
    <row r="5" spans="2:4">
      <c r="B5" s="54" t="s">
        <v>2</v>
      </c>
      <c r="C5" s="52"/>
      <c r="D5" s="53"/>
    </row>
    <row r="6" spans="2:4">
      <c r="B6" s="54" t="s">
        <v>3</v>
      </c>
      <c r="C6" s="52"/>
      <c r="D6" s="53"/>
    </row>
    <row r="7" spans="2:4" ht="14.65" customHeight="1" thickBot="1">
      <c r="B7" s="9"/>
      <c r="C7" s="7"/>
      <c r="D7" s="8"/>
    </row>
    <row r="8" spans="2:4">
      <c r="B8" s="66" t="s">
        <v>4</v>
      </c>
      <c r="C8" s="64" t="s">
        <v>5</v>
      </c>
      <c r="D8" s="65" t="s">
        <v>6</v>
      </c>
    </row>
    <row r="9" spans="2:4" ht="14.65" customHeight="1" thickBot="1">
      <c r="B9" s="60"/>
      <c r="C9" s="56"/>
      <c r="D9" s="58"/>
    </row>
    <row r="10" spans="2:4" s="2" customFormat="1" ht="15.75" customHeight="1">
      <c r="B10" s="36">
        <v>46054</v>
      </c>
      <c r="C10" s="37" t="str">
        <f t="shared" ref="C10:C37" si="0">TEXT(B10,"dddd")</f>
        <v>Sunday</v>
      </c>
      <c r="D10" s="38"/>
    </row>
    <row r="11" spans="2:4" s="2" customFormat="1" ht="94.5" customHeight="1">
      <c r="B11" s="15">
        <v>46055</v>
      </c>
      <c r="C11" s="18" t="str">
        <f t="shared" si="0"/>
        <v>Monday</v>
      </c>
      <c r="D11" s="19" t="s">
        <v>50</v>
      </c>
    </row>
    <row r="12" spans="2:4" s="2" customFormat="1" ht="31.5" customHeight="1">
      <c r="B12" s="15">
        <v>46056</v>
      </c>
      <c r="C12" s="18" t="str">
        <f t="shared" si="0"/>
        <v>Tuesday</v>
      </c>
      <c r="D12" s="19" t="s">
        <v>51</v>
      </c>
    </row>
    <row r="13" spans="2:4" s="2" customFormat="1" ht="63" customHeight="1">
      <c r="B13" s="15">
        <v>46057</v>
      </c>
      <c r="C13" s="18" t="str">
        <f t="shared" si="0"/>
        <v>Wednesday</v>
      </c>
      <c r="D13" s="19" t="s">
        <v>52</v>
      </c>
    </row>
    <row r="14" spans="2:4" s="2" customFormat="1" ht="15.75" customHeight="1">
      <c r="B14" s="15">
        <v>46058</v>
      </c>
      <c r="C14" s="18" t="str">
        <f t="shared" si="0"/>
        <v>Thursday</v>
      </c>
      <c r="D14" s="19" t="s">
        <v>53</v>
      </c>
    </row>
    <row r="15" spans="2:4" s="2" customFormat="1" ht="15.75" customHeight="1">
      <c r="B15" s="15">
        <v>46059</v>
      </c>
      <c r="C15" s="18" t="str">
        <f t="shared" si="0"/>
        <v>Friday</v>
      </c>
      <c r="D15" s="19" t="s">
        <v>54</v>
      </c>
    </row>
    <row r="16" spans="2:4" s="2" customFormat="1" ht="15.75" customHeight="1">
      <c r="B16" s="15">
        <v>46060</v>
      </c>
      <c r="C16" s="18" t="str">
        <f t="shared" si="0"/>
        <v>Saturday</v>
      </c>
      <c r="D16" s="19"/>
    </row>
    <row r="17" spans="2:4" s="2" customFormat="1" ht="15.75" customHeight="1">
      <c r="B17" s="15">
        <v>46061</v>
      </c>
      <c r="C17" s="18" t="str">
        <f t="shared" si="0"/>
        <v>Sunday</v>
      </c>
      <c r="D17" s="19"/>
    </row>
    <row r="18" spans="2:4" s="2" customFormat="1" ht="15.75" customHeight="1">
      <c r="B18" s="15">
        <v>46062</v>
      </c>
      <c r="C18" s="18" t="str">
        <f t="shared" si="0"/>
        <v>Monday</v>
      </c>
      <c r="D18" s="19" t="s">
        <v>55</v>
      </c>
    </row>
    <row r="19" spans="2:4" s="2" customFormat="1" ht="15.75" customHeight="1">
      <c r="B19" s="15">
        <v>46063</v>
      </c>
      <c r="C19" s="18" t="str">
        <f t="shared" si="0"/>
        <v>Tuesday</v>
      </c>
      <c r="D19" s="19" t="s">
        <v>56</v>
      </c>
    </row>
    <row r="20" spans="2:4" s="2" customFormat="1" ht="15.75" customHeight="1">
      <c r="B20" s="15">
        <v>46064</v>
      </c>
      <c r="C20" s="18" t="str">
        <f t="shared" si="0"/>
        <v>Wednesday</v>
      </c>
      <c r="D20" s="19" t="s">
        <v>57</v>
      </c>
    </row>
    <row r="21" spans="2:4" s="2" customFormat="1" ht="31.5" customHeight="1">
      <c r="B21" s="15">
        <v>46065</v>
      </c>
      <c r="C21" s="18" t="str">
        <f t="shared" si="0"/>
        <v>Thursday</v>
      </c>
      <c r="D21" s="19" t="s">
        <v>58</v>
      </c>
    </row>
    <row r="22" spans="2:4" s="2" customFormat="1" ht="15.75" customHeight="1">
      <c r="B22" s="15">
        <v>46066</v>
      </c>
      <c r="C22" s="18" t="str">
        <f t="shared" si="0"/>
        <v>Friday</v>
      </c>
      <c r="D22" s="21" t="s">
        <v>59</v>
      </c>
    </row>
    <row r="23" spans="2:4" s="2" customFormat="1" ht="15.75" customHeight="1">
      <c r="B23" s="15">
        <v>46067</v>
      </c>
      <c r="C23" s="18" t="str">
        <f t="shared" si="0"/>
        <v>Saturday</v>
      </c>
      <c r="D23" s="19"/>
    </row>
    <row r="24" spans="2:4" s="2" customFormat="1" ht="15.75" customHeight="1">
      <c r="B24" s="15">
        <v>46068</v>
      </c>
      <c r="C24" s="18" t="str">
        <f t="shared" si="0"/>
        <v>Sunday</v>
      </c>
      <c r="D24" s="19"/>
    </row>
    <row r="25" spans="2:4" s="2" customFormat="1" ht="15.75" customHeight="1">
      <c r="B25" s="15">
        <v>46069</v>
      </c>
      <c r="C25" s="16" t="str">
        <f t="shared" si="0"/>
        <v>Monday</v>
      </c>
      <c r="D25" s="22"/>
    </row>
    <row r="26" spans="2:4" s="2" customFormat="1" ht="15.75" customHeight="1">
      <c r="B26" s="15">
        <v>46070</v>
      </c>
      <c r="C26" s="16" t="str">
        <f t="shared" si="0"/>
        <v>Tuesday</v>
      </c>
      <c r="D26" s="22"/>
    </row>
    <row r="27" spans="2:4" s="2" customFormat="1" ht="47.25" customHeight="1">
      <c r="B27" s="15">
        <v>46071</v>
      </c>
      <c r="C27" s="18" t="str">
        <f t="shared" si="0"/>
        <v>Wednesday</v>
      </c>
      <c r="D27" s="23" t="s">
        <v>60</v>
      </c>
    </row>
    <row r="28" spans="2:4" s="2" customFormat="1" ht="15.75" customHeight="1">
      <c r="B28" s="15">
        <v>46072</v>
      </c>
      <c r="C28" s="18" t="str">
        <f t="shared" si="0"/>
        <v>Thursday</v>
      </c>
      <c r="D28" s="21" t="s">
        <v>61</v>
      </c>
    </row>
    <row r="29" spans="2:4" s="2" customFormat="1" ht="47.25" customHeight="1">
      <c r="B29" s="15">
        <v>46073</v>
      </c>
      <c r="C29" s="18" t="str">
        <f t="shared" si="0"/>
        <v>Friday</v>
      </c>
      <c r="D29" s="23" t="s">
        <v>62</v>
      </c>
    </row>
    <row r="30" spans="2:4" s="2" customFormat="1" ht="15.75" customHeight="1">
      <c r="B30" s="15">
        <v>46074</v>
      </c>
      <c r="C30" s="18" t="str">
        <f t="shared" si="0"/>
        <v>Saturday</v>
      </c>
      <c r="D30" s="19"/>
    </row>
    <row r="31" spans="2:4" s="2" customFormat="1" ht="15.75" customHeight="1">
      <c r="B31" s="15">
        <v>46075</v>
      </c>
      <c r="C31" s="18" t="str">
        <f t="shared" si="0"/>
        <v>Sunday</v>
      </c>
      <c r="D31" s="19"/>
    </row>
    <row r="32" spans="2:4" s="2" customFormat="1" ht="110.25" customHeight="1">
      <c r="B32" s="15">
        <v>46076</v>
      </c>
      <c r="C32" s="18" t="str">
        <f t="shared" si="0"/>
        <v>Monday</v>
      </c>
      <c r="D32" s="19" t="s">
        <v>63</v>
      </c>
    </row>
    <row r="33" spans="2:6" s="2" customFormat="1" ht="47.25" customHeight="1">
      <c r="B33" s="15">
        <v>46077</v>
      </c>
      <c r="C33" s="18" t="str">
        <f t="shared" si="0"/>
        <v>Tuesday</v>
      </c>
      <c r="D33" s="23" t="s">
        <v>64</v>
      </c>
    </row>
    <row r="34" spans="2:6" s="2" customFormat="1" ht="110.25" customHeight="1">
      <c r="B34" s="15">
        <v>46078</v>
      </c>
      <c r="C34" s="18" t="str">
        <f t="shared" si="0"/>
        <v>Wednesday</v>
      </c>
      <c r="D34" s="19" t="s">
        <v>65</v>
      </c>
    </row>
    <row r="35" spans="2:6" s="2" customFormat="1" ht="15.75" customHeight="1">
      <c r="B35" s="15">
        <v>46079</v>
      </c>
      <c r="C35" s="18" t="str">
        <f t="shared" si="0"/>
        <v>Thursday</v>
      </c>
      <c r="D35" s="19" t="s">
        <v>66</v>
      </c>
    </row>
    <row r="36" spans="2:6" s="2" customFormat="1" ht="47.25" customHeight="1">
      <c r="B36" s="15">
        <v>46080</v>
      </c>
      <c r="C36" s="18" t="str">
        <f t="shared" si="0"/>
        <v>Friday</v>
      </c>
      <c r="D36" s="28" t="s">
        <v>67</v>
      </c>
    </row>
    <row r="37" spans="2:6" ht="16.149999999999999" customHeight="1" thickBot="1">
      <c r="B37" s="25">
        <v>46081</v>
      </c>
      <c r="C37" s="26" t="str">
        <f t="shared" si="0"/>
        <v>Saturday</v>
      </c>
      <c r="D37" s="27"/>
    </row>
    <row r="38" spans="2:6">
      <c r="B38" s="1"/>
      <c r="C38" s="1"/>
      <c r="F38" s="1"/>
    </row>
    <row r="39" spans="2:6">
      <c r="B39" s="10" t="s">
        <v>21</v>
      </c>
      <c r="C39" s="1"/>
      <c r="D39" s="14" t="s">
        <v>48</v>
      </c>
      <c r="F39" s="1"/>
    </row>
    <row r="40" spans="2:6">
      <c r="B40" s="1"/>
      <c r="C40" s="1"/>
      <c r="D40" s="11"/>
      <c r="F40" s="1"/>
    </row>
    <row r="41" spans="2:6">
      <c r="B41" s="1"/>
      <c r="C41" s="1"/>
      <c r="D41" s="11"/>
      <c r="F41" s="1"/>
    </row>
    <row r="42" spans="2:6">
      <c r="B42" s="1"/>
      <c r="C42" s="1"/>
      <c r="D42" s="11"/>
      <c r="E42" s="1"/>
      <c r="F42" s="2"/>
    </row>
    <row r="43" spans="2:6">
      <c r="B43" s="1"/>
      <c r="C43" s="1"/>
      <c r="D43" s="11"/>
      <c r="E43" s="1"/>
      <c r="F43" s="2"/>
    </row>
    <row r="44" spans="2:6">
      <c r="B44" s="3" t="s">
        <v>23</v>
      </c>
      <c r="C44" s="1"/>
      <c r="D44" s="12" t="s">
        <v>24</v>
      </c>
      <c r="E44" s="1"/>
      <c r="F44" s="1"/>
    </row>
    <row r="45" spans="2:6">
      <c r="B45" s="10" t="s">
        <v>25</v>
      </c>
      <c r="C45" s="1"/>
      <c r="D45" s="14" t="s">
        <v>26</v>
      </c>
      <c r="E45" s="1"/>
      <c r="F45" s="1"/>
    </row>
    <row r="46" spans="2:6">
      <c r="E46" s="1"/>
      <c r="F46" s="1"/>
    </row>
    <row r="47" spans="2:6">
      <c r="E47" s="1"/>
      <c r="F47" s="1"/>
    </row>
    <row r="48" spans="2:6">
      <c r="E48" s="4"/>
      <c r="F48" s="1"/>
    </row>
    <row r="49" spans="2:5">
      <c r="B49" s="10"/>
      <c r="C49" s="1"/>
      <c r="D49" s="1"/>
      <c r="E49" s="1"/>
    </row>
  </sheetData>
  <mergeCells count="7">
    <mergeCell ref="B2:D2"/>
    <mergeCell ref="B3:D3"/>
    <mergeCell ref="B5:D5"/>
    <mergeCell ref="C8:C9"/>
    <mergeCell ref="D8:D9"/>
    <mergeCell ref="B8:B9"/>
    <mergeCell ref="B6:D6"/>
  </mergeCells>
  <conditionalFormatting sqref="C10:D13 C14 C15:D17 C18:C21 C22:D24 C25:C29 C30:D32 C33:C36 C37:D37">
    <cfRule type="expression" dxfId="31" priority="1">
      <formula>OR($C10="Saturday",$C10="Sunday")</formula>
    </cfRule>
    <cfRule type="expression" dxfId="30" priority="2">
      <formula>OR($A10="Saturday",$A10="Sunday")</formula>
    </cfRule>
  </conditionalFormatting>
  <conditionalFormatting sqref="D14:D15">
    <cfRule type="expression" dxfId="29" priority="33">
      <formula>OR($C18="Saturday",$C18="Sunday")</formula>
    </cfRule>
    <cfRule type="expression" dxfId="28" priority="34">
      <formula>OR($A18="Saturday",$A18="Sunday")</formula>
    </cfRule>
  </conditionalFormatting>
  <conditionalFormatting sqref="D18:D21">
    <cfRule type="expression" dxfId="27" priority="37">
      <formula>OR($C25="Saturday",$C25="Sunday")</formula>
    </cfRule>
    <cfRule type="expression" dxfId="26" priority="38">
      <formula>OR($A25="Saturday",$A25="Sunday")</formula>
    </cfRule>
  </conditionalFormatting>
  <conditionalFormatting sqref="D27">
    <cfRule type="expression" dxfId="25" priority="41">
      <formula>OR($C29="Saturday",$C29="Sunday")</formula>
    </cfRule>
    <cfRule type="expression" dxfId="24" priority="42">
      <formula>OR($A29="Saturday",$A29="Sunday")</formula>
    </cfRule>
  </conditionalFormatting>
  <conditionalFormatting sqref="D34:D35">
    <cfRule type="expression" dxfId="23" priority="45">
      <formula>OR($C33="Saturday",$C33="Sunday")</formula>
    </cfRule>
    <cfRule type="expression" dxfId="22" priority="46">
      <formula>OR($A33="Saturday",$A33="Sunday")</formula>
    </cfRule>
  </conditionalFormatting>
  <pageMargins left="0.7" right="0.7" top="1.3149999999999999" bottom="0.75" header="0.3" footer="0.3"/>
  <pageSetup paperSize="9" scale="4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49"/>
  <sheetViews>
    <sheetView view="pageBreakPreview" topLeftCell="A37" zoomScale="70" zoomScaleNormal="55" zoomScaleSheetLayoutView="70" workbookViewId="0">
      <selection activeCell="B8" sqref="B8:B9"/>
    </sheetView>
  </sheetViews>
  <sheetFormatPr defaultColWidth="9" defaultRowHeight="14.25"/>
  <cols>
    <col min="1" max="1" width="10.19921875" customWidth="1"/>
    <col min="2" max="2" width="28.33203125" bestFit="1" customWidth="1"/>
    <col min="3" max="3" width="10.9296875" style="5" bestFit="1" customWidth="1"/>
    <col min="4" max="4" width="155.796875" style="6" customWidth="1"/>
    <col min="5" max="5" width="10.19921875" customWidth="1"/>
  </cols>
  <sheetData>
    <row r="2" spans="2:4" ht="25.5" customHeight="1">
      <c r="B2" s="51" t="s">
        <v>0</v>
      </c>
      <c r="C2" s="52"/>
      <c r="D2" s="53"/>
    </row>
    <row r="3" spans="2:4" ht="25.5" customHeight="1">
      <c r="B3" s="51" t="s">
        <v>68</v>
      </c>
      <c r="C3" s="52"/>
      <c r="D3" s="53"/>
    </row>
    <row r="4" spans="2:4">
      <c r="B4" s="7"/>
      <c r="C4" s="7"/>
      <c r="D4" s="8"/>
    </row>
    <row r="5" spans="2:4">
      <c r="B5" s="54" t="s">
        <v>2</v>
      </c>
      <c r="C5" s="52"/>
      <c r="D5" s="53"/>
    </row>
    <row r="6" spans="2:4">
      <c r="B6" s="54" t="s">
        <v>3</v>
      </c>
      <c r="C6" s="52"/>
      <c r="D6" s="53"/>
    </row>
    <row r="7" spans="2:4" ht="14.65" customHeight="1" thickBot="1">
      <c r="B7" s="9"/>
      <c r="C7" s="7"/>
      <c r="D7" s="8"/>
    </row>
    <row r="8" spans="2:4" ht="14.65" customHeight="1" thickBot="1">
      <c r="B8" s="67" t="s">
        <v>4</v>
      </c>
      <c r="C8" s="67" t="s">
        <v>5</v>
      </c>
      <c r="D8" s="68" t="s">
        <v>6</v>
      </c>
    </row>
    <row r="9" spans="2:4" ht="14.65" customHeight="1" thickBot="1">
      <c r="B9" s="62"/>
      <c r="C9" s="62"/>
      <c r="D9" s="62"/>
    </row>
    <row r="10" spans="2:4" s="2" customFormat="1" ht="15.75" customHeight="1">
      <c r="B10" s="36">
        <v>46082</v>
      </c>
      <c r="C10" s="37" t="str">
        <f t="shared" ref="C10:C40" si="0">TEXT(B10,"dddd")</f>
        <v>Sunday</v>
      </c>
      <c r="D10" s="38"/>
    </row>
    <row r="11" spans="2:4" s="2" customFormat="1" ht="47.25" customHeight="1">
      <c r="B11" s="15">
        <v>46083</v>
      </c>
      <c r="C11" s="18" t="str">
        <f t="shared" si="0"/>
        <v>Monday</v>
      </c>
      <c r="D11" s="19" t="s">
        <v>69</v>
      </c>
    </row>
    <row r="12" spans="2:4" s="2" customFormat="1" ht="47.25" customHeight="1">
      <c r="B12" s="15">
        <v>46084</v>
      </c>
      <c r="C12" s="18" t="str">
        <f t="shared" si="0"/>
        <v>Tuesday</v>
      </c>
      <c r="D12" s="28" t="s">
        <v>70</v>
      </c>
    </row>
    <row r="13" spans="2:4" s="2" customFormat="1" ht="31.5" customHeight="1">
      <c r="B13" s="15">
        <v>46085</v>
      </c>
      <c r="C13" s="18" t="str">
        <f t="shared" si="0"/>
        <v>Wednesday</v>
      </c>
      <c r="D13" s="28" t="s">
        <v>71</v>
      </c>
    </row>
    <row r="14" spans="2:4" s="2" customFormat="1" ht="31.5" customHeight="1">
      <c r="B14" s="15">
        <v>46086</v>
      </c>
      <c r="C14" s="18" t="str">
        <f t="shared" si="0"/>
        <v>Thursday</v>
      </c>
      <c r="D14" s="28" t="s">
        <v>72</v>
      </c>
    </row>
    <row r="15" spans="2:4" s="2" customFormat="1" ht="78.75" customHeight="1">
      <c r="B15" s="15">
        <v>46087</v>
      </c>
      <c r="C15" s="18" t="str">
        <f t="shared" si="0"/>
        <v>Friday</v>
      </c>
      <c r="D15" s="19" t="s">
        <v>73</v>
      </c>
    </row>
    <row r="16" spans="2:4" s="2" customFormat="1" ht="15.75" customHeight="1">
      <c r="B16" s="15">
        <v>46088</v>
      </c>
      <c r="C16" s="18" t="str">
        <f t="shared" si="0"/>
        <v>Saturday</v>
      </c>
      <c r="D16" s="19"/>
    </row>
    <row r="17" spans="2:4" s="2" customFormat="1" ht="15.75" customHeight="1">
      <c r="B17" s="15">
        <v>46089</v>
      </c>
      <c r="C17" s="18" t="str">
        <f t="shared" si="0"/>
        <v>Sunday</v>
      </c>
      <c r="D17" s="19"/>
    </row>
    <row r="18" spans="2:4" s="2" customFormat="1" ht="47.25" customHeight="1">
      <c r="B18" s="15">
        <v>46090</v>
      </c>
      <c r="C18" s="18" t="str">
        <f t="shared" si="0"/>
        <v>Monday</v>
      </c>
      <c r="D18" s="29" t="s">
        <v>74</v>
      </c>
    </row>
    <row r="19" spans="2:4" s="2" customFormat="1" ht="15.75" customHeight="1">
      <c r="B19" s="15">
        <v>46091</v>
      </c>
      <c r="C19" s="18" t="str">
        <f t="shared" si="0"/>
        <v>Tuesday</v>
      </c>
      <c r="D19" s="21" t="s">
        <v>75</v>
      </c>
    </row>
    <row r="20" spans="2:4" s="2" customFormat="1" ht="15.75" customHeight="1">
      <c r="B20" s="15">
        <v>46092</v>
      </c>
      <c r="C20" s="18" t="str">
        <f t="shared" si="0"/>
        <v>Wednesday</v>
      </c>
      <c r="D20" s="19" t="s">
        <v>76</v>
      </c>
    </row>
    <row r="21" spans="2:4" s="2" customFormat="1" ht="31.5" customHeight="1">
      <c r="B21" s="15">
        <v>46093</v>
      </c>
      <c r="C21" s="18" t="str">
        <f t="shared" si="0"/>
        <v>Thursday</v>
      </c>
      <c r="D21" s="19" t="s">
        <v>77</v>
      </c>
    </row>
    <row r="22" spans="2:4" s="2" customFormat="1" ht="63" customHeight="1">
      <c r="B22" s="15">
        <v>46094</v>
      </c>
      <c r="C22" s="18" t="str">
        <f t="shared" si="0"/>
        <v>Friday</v>
      </c>
      <c r="D22" s="19" t="s">
        <v>78</v>
      </c>
    </row>
    <row r="23" spans="2:4" s="2" customFormat="1" ht="15.75" customHeight="1">
      <c r="B23" s="15">
        <v>46095</v>
      </c>
      <c r="C23" s="18" t="str">
        <f t="shared" si="0"/>
        <v>Saturday</v>
      </c>
      <c r="D23" s="19"/>
    </row>
    <row r="24" spans="2:4" s="2" customFormat="1" ht="15.75" customHeight="1">
      <c r="B24" s="15">
        <v>46096</v>
      </c>
      <c r="C24" s="18" t="str">
        <f t="shared" si="0"/>
        <v>Sunday</v>
      </c>
      <c r="D24" s="19"/>
    </row>
    <row r="25" spans="2:4" s="2" customFormat="1" ht="47.25" customHeight="1">
      <c r="B25" s="15">
        <v>46097</v>
      </c>
      <c r="C25" s="18" t="str">
        <f t="shared" si="0"/>
        <v>Monday</v>
      </c>
      <c r="D25" s="19" t="s">
        <v>79</v>
      </c>
    </row>
    <row r="26" spans="2:4" s="2" customFormat="1" ht="15.75" customHeight="1">
      <c r="B26" s="15">
        <v>46098</v>
      </c>
      <c r="C26" s="18" t="str">
        <f t="shared" si="0"/>
        <v>Tuesday</v>
      </c>
      <c r="D26" s="19" t="s">
        <v>80</v>
      </c>
    </row>
    <row r="27" spans="2:4" s="2" customFormat="1" ht="15.75" customHeight="1">
      <c r="B27" s="15">
        <v>46099</v>
      </c>
      <c r="C27" s="16" t="str">
        <f t="shared" si="0"/>
        <v>Wednesday</v>
      </c>
      <c r="D27" s="17"/>
    </row>
    <row r="28" spans="2:4" s="2" customFormat="1" ht="15.75" customHeight="1">
      <c r="B28" s="15">
        <v>46100</v>
      </c>
      <c r="C28" s="16" t="str">
        <f t="shared" si="0"/>
        <v>Thursday</v>
      </c>
      <c r="D28" s="17"/>
    </row>
    <row r="29" spans="2:4" s="2" customFormat="1" ht="15.75" customHeight="1">
      <c r="B29" s="15">
        <v>46101</v>
      </c>
      <c r="C29" s="16" t="str">
        <f t="shared" si="0"/>
        <v>Friday</v>
      </c>
      <c r="D29" s="30"/>
    </row>
    <row r="30" spans="2:4" s="2" customFormat="1" ht="15.75" customHeight="1">
      <c r="B30" s="15">
        <v>46102</v>
      </c>
      <c r="C30" s="16" t="str">
        <f t="shared" si="0"/>
        <v>Saturday</v>
      </c>
      <c r="D30" s="17"/>
    </row>
    <row r="31" spans="2:4" s="2" customFormat="1" ht="15.75" customHeight="1">
      <c r="B31" s="15">
        <v>46103</v>
      </c>
      <c r="C31" s="16" t="str">
        <f t="shared" si="0"/>
        <v>Sunday</v>
      </c>
      <c r="D31" s="17"/>
    </row>
    <row r="32" spans="2:4" s="2" customFormat="1" ht="15.75" customHeight="1">
      <c r="B32" s="15">
        <v>46104</v>
      </c>
      <c r="C32" s="16" t="str">
        <f t="shared" si="0"/>
        <v>Monday</v>
      </c>
      <c r="D32" s="17"/>
    </row>
    <row r="33" spans="2:6" s="2" customFormat="1" ht="15.75" customHeight="1">
      <c r="B33" s="15">
        <v>46105</v>
      </c>
      <c r="C33" s="16" t="str">
        <f t="shared" si="0"/>
        <v>Tuesday</v>
      </c>
      <c r="D33" s="17"/>
    </row>
    <row r="34" spans="2:6" s="2" customFormat="1" ht="252" customHeight="1">
      <c r="B34" s="15">
        <v>46106</v>
      </c>
      <c r="C34" s="18" t="str">
        <f t="shared" si="0"/>
        <v>Wednesday</v>
      </c>
      <c r="D34" s="19" t="s">
        <v>81</v>
      </c>
    </row>
    <row r="35" spans="2:6" s="2" customFormat="1" ht="141.75" customHeight="1">
      <c r="B35" s="15">
        <v>46107</v>
      </c>
      <c r="C35" s="18" t="str">
        <f t="shared" si="0"/>
        <v>Thursday</v>
      </c>
      <c r="D35" s="19" t="s">
        <v>82</v>
      </c>
    </row>
    <row r="36" spans="2:6" s="2" customFormat="1" ht="94.5" customHeight="1">
      <c r="B36" s="15">
        <v>46108</v>
      </c>
      <c r="C36" s="18" t="str">
        <f t="shared" si="0"/>
        <v>Friday</v>
      </c>
      <c r="D36" s="19" t="s">
        <v>83</v>
      </c>
    </row>
    <row r="37" spans="2:6" ht="15.75" customHeight="1">
      <c r="B37" s="15">
        <v>46109</v>
      </c>
      <c r="C37" s="18" t="str">
        <f t="shared" si="0"/>
        <v>Saturday</v>
      </c>
      <c r="D37" s="19"/>
    </row>
    <row r="38" spans="2:6" ht="15.75" customHeight="1">
      <c r="B38" s="15">
        <v>46110</v>
      </c>
      <c r="C38" s="18" t="str">
        <f t="shared" si="0"/>
        <v>Sunday</v>
      </c>
      <c r="D38" s="19"/>
      <c r="F38" s="1"/>
    </row>
    <row r="39" spans="2:6" ht="157.5" customHeight="1">
      <c r="B39" s="15">
        <v>46111</v>
      </c>
      <c r="C39" s="18" t="str">
        <f t="shared" si="0"/>
        <v>Monday</v>
      </c>
      <c r="D39" s="19" t="s">
        <v>84</v>
      </c>
      <c r="F39" s="1"/>
    </row>
    <row r="40" spans="2:6" ht="47.65" customHeight="1" thickBot="1">
      <c r="B40" s="25">
        <v>46112</v>
      </c>
      <c r="C40" s="26" t="str">
        <f t="shared" si="0"/>
        <v>Tuesday</v>
      </c>
      <c r="D40" s="27" t="s">
        <v>85</v>
      </c>
      <c r="F40" s="1"/>
    </row>
    <row r="41" spans="2:6">
      <c r="B41" s="13"/>
      <c r="F41" s="1"/>
    </row>
    <row r="42" spans="2:6">
      <c r="B42" s="10" t="s">
        <v>21</v>
      </c>
      <c r="C42" s="1"/>
      <c r="D42" s="14" t="s">
        <v>48</v>
      </c>
      <c r="E42" s="1"/>
      <c r="F42" s="2"/>
    </row>
    <row r="43" spans="2:6">
      <c r="B43" s="1"/>
      <c r="C43" s="1"/>
      <c r="D43" s="11"/>
      <c r="E43" s="1"/>
      <c r="F43" s="2"/>
    </row>
    <row r="44" spans="2:6">
      <c r="B44" s="1"/>
      <c r="C44" s="1"/>
      <c r="D44" s="11"/>
      <c r="E44" s="1"/>
      <c r="F44" s="1"/>
    </row>
    <row r="45" spans="2:6">
      <c r="B45" s="1"/>
      <c r="C45" s="1"/>
      <c r="D45" s="11"/>
      <c r="E45" s="1"/>
      <c r="F45" s="1"/>
    </row>
    <row r="46" spans="2:6">
      <c r="B46" s="1"/>
      <c r="C46" s="1"/>
      <c r="D46" s="11"/>
      <c r="E46" s="1"/>
      <c r="F46" s="1"/>
    </row>
    <row r="47" spans="2:6">
      <c r="B47" s="3" t="s">
        <v>23</v>
      </c>
      <c r="C47" s="1"/>
      <c r="D47" s="12" t="s">
        <v>24</v>
      </c>
      <c r="E47" s="1"/>
      <c r="F47" s="1"/>
    </row>
    <row r="48" spans="2:6">
      <c r="B48" s="10" t="s">
        <v>25</v>
      </c>
      <c r="C48" s="1"/>
      <c r="D48" s="14" t="s">
        <v>26</v>
      </c>
      <c r="E48" s="4"/>
      <c r="F48" s="1"/>
    </row>
    <row r="49" spans="2:5">
      <c r="B49" s="10"/>
      <c r="C49" s="1"/>
      <c r="D49" s="1"/>
      <c r="E49" s="1"/>
    </row>
  </sheetData>
  <mergeCells count="7">
    <mergeCell ref="B2:D2"/>
    <mergeCell ref="B3:D3"/>
    <mergeCell ref="B5:D5"/>
    <mergeCell ref="C8:C9"/>
    <mergeCell ref="D8:D9"/>
    <mergeCell ref="B8:B9"/>
    <mergeCell ref="B6:D6"/>
  </mergeCells>
  <conditionalFormatting sqref="C10:D11 C12:C14 C15:D17 C18:C19 C20:D28 C29 C30:D40">
    <cfRule type="expression" dxfId="21" priority="1">
      <formula>OR($C10="Saturday",$C10="Sunday")</formula>
    </cfRule>
    <cfRule type="expression" dxfId="20" priority="2">
      <formula>OR($A10="Saturday",$A10="Sunday")</formula>
    </cfRule>
  </conditionalFormatting>
  <pageMargins left="0.7" right="0.7" top="0.75" bottom="0.75" header="0.3" footer="0.3"/>
  <pageSetup paperSize="9" scale="38"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49"/>
  <sheetViews>
    <sheetView view="pageBreakPreview" topLeftCell="A30" zoomScale="60" zoomScaleNormal="70" workbookViewId="0">
      <selection activeCell="B8" sqref="B8:D9"/>
    </sheetView>
  </sheetViews>
  <sheetFormatPr defaultColWidth="9" defaultRowHeight="14.25"/>
  <cols>
    <col min="1" max="1" width="10.19921875" customWidth="1"/>
    <col min="2" max="2" width="29.19921875" bestFit="1" customWidth="1"/>
    <col min="3" max="3" width="11.06640625" style="5" bestFit="1" customWidth="1"/>
    <col min="4" max="4" width="155.86328125" style="6" customWidth="1"/>
    <col min="5" max="5" width="10.19921875" customWidth="1"/>
  </cols>
  <sheetData>
    <row r="2" spans="2:4" ht="25.5" customHeight="1">
      <c r="B2" s="51" t="s">
        <v>0</v>
      </c>
      <c r="C2" s="52"/>
      <c r="D2" s="53"/>
    </row>
    <row r="3" spans="2:4" ht="25.5" customHeight="1">
      <c r="B3" s="51" t="s">
        <v>86</v>
      </c>
      <c r="C3" s="52"/>
      <c r="D3" s="53"/>
    </row>
    <row r="4" spans="2:4">
      <c r="B4" s="7"/>
      <c r="C4" s="7"/>
      <c r="D4" s="8"/>
    </row>
    <row r="5" spans="2:4">
      <c r="B5" s="54" t="s">
        <v>2</v>
      </c>
      <c r="C5" s="52"/>
      <c r="D5" s="53"/>
    </row>
    <row r="6" spans="2:4">
      <c r="B6" s="54" t="s">
        <v>3</v>
      </c>
      <c r="C6" s="52"/>
      <c r="D6" s="53"/>
    </row>
    <row r="7" spans="2:4" ht="14.65" customHeight="1" thickBot="1">
      <c r="B7" s="9"/>
      <c r="C7" s="7"/>
      <c r="D7" s="8"/>
    </row>
    <row r="8" spans="2:4">
      <c r="B8" s="66" t="s">
        <v>4</v>
      </c>
      <c r="C8" s="64" t="s">
        <v>5</v>
      </c>
      <c r="D8" s="65" t="s">
        <v>6</v>
      </c>
    </row>
    <row r="9" spans="2:4" ht="14.65" customHeight="1" thickBot="1">
      <c r="B9" s="60"/>
      <c r="C9" s="56"/>
      <c r="D9" s="58"/>
    </row>
    <row r="10" spans="2:4" s="2" customFormat="1" ht="78.75" customHeight="1">
      <c r="B10" s="36">
        <v>46113</v>
      </c>
      <c r="C10" s="37" t="str">
        <f t="shared" ref="C10:C39" si="0">TEXT(B10,"dddd")</f>
        <v>Wednesday</v>
      </c>
      <c r="D10" s="38" t="s">
        <v>87</v>
      </c>
    </row>
    <row r="11" spans="2:4" s="2" customFormat="1" ht="126" customHeight="1">
      <c r="B11" s="15">
        <v>46114</v>
      </c>
      <c r="C11" s="18" t="str">
        <f t="shared" si="0"/>
        <v>Thursday</v>
      </c>
      <c r="D11" s="19" t="s">
        <v>88</v>
      </c>
    </row>
    <row r="12" spans="2:4" s="2" customFormat="1" ht="15.75" customHeight="1">
      <c r="B12" s="15">
        <v>46115</v>
      </c>
      <c r="C12" s="16" t="str">
        <f t="shared" si="0"/>
        <v>Friday</v>
      </c>
      <c r="D12" s="17"/>
    </row>
    <row r="13" spans="2:4" s="2" customFormat="1" ht="15.75" customHeight="1">
      <c r="B13" s="15">
        <v>46116</v>
      </c>
      <c r="C13" s="18" t="str">
        <f t="shared" si="0"/>
        <v>Saturday</v>
      </c>
      <c r="D13" s="19"/>
    </row>
    <row r="14" spans="2:4" s="2" customFormat="1" ht="15.75" customHeight="1">
      <c r="B14" s="15">
        <v>46117</v>
      </c>
      <c r="C14" s="18" t="str">
        <f t="shared" si="0"/>
        <v>Sunday</v>
      </c>
      <c r="D14" s="19"/>
    </row>
    <row r="15" spans="2:4" s="2" customFormat="1" ht="31.5" customHeight="1">
      <c r="B15" s="15">
        <v>46118</v>
      </c>
      <c r="C15" s="18" t="str">
        <f t="shared" si="0"/>
        <v>Monday</v>
      </c>
      <c r="D15" s="19" t="s">
        <v>89</v>
      </c>
    </row>
    <row r="16" spans="2:4" s="2" customFormat="1" ht="15.75" customHeight="1">
      <c r="B16" s="15">
        <v>46119</v>
      </c>
      <c r="C16" s="18" t="str">
        <f t="shared" si="0"/>
        <v>Tuesday</v>
      </c>
      <c r="D16" s="19" t="s">
        <v>90</v>
      </c>
    </row>
    <row r="17" spans="2:4" s="2" customFormat="1" ht="31.5" customHeight="1">
      <c r="B17" s="15">
        <v>46120</v>
      </c>
      <c r="C17" s="18" t="str">
        <f t="shared" si="0"/>
        <v>Wednesday</v>
      </c>
      <c r="D17" s="19" t="s">
        <v>91</v>
      </c>
    </row>
    <row r="18" spans="2:4" s="2" customFormat="1" ht="31.5" customHeight="1">
      <c r="B18" s="15">
        <v>46121</v>
      </c>
      <c r="C18" s="18" t="str">
        <f t="shared" si="0"/>
        <v>Thursday</v>
      </c>
      <c r="D18" s="19" t="s">
        <v>92</v>
      </c>
    </row>
    <row r="19" spans="2:4" s="2" customFormat="1" ht="31.5" customHeight="1">
      <c r="B19" s="15">
        <v>46122</v>
      </c>
      <c r="C19" s="18" t="str">
        <f t="shared" si="0"/>
        <v>Friday</v>
      </c>
      <c r="D19" s="19" t="s">
        <v>93</v>
      </c>
    </row>
    <row r="20" spans="2:4" s="2" customFormat="1" ht="15.75" customHeight="1">
      <c r="B20" s="15">
        <v>46123</v>
      </c>
      <c r="C20" s="18" t="str">
        <f t="shared" si="0"/>
        <v>Saturday</v>
      </c>
      <c r="D20" s="19"/>
    </row>
    <row r="21" spans="2:4" s="2" customFormat="1" ht="15.75" customHeight="1">
      <c r="B21" s="15">
        <v>46124</v>
      </c>
      <c r="C21" s="18" t="str">
        <f t="shared" si="0"/>
        <v>Sunday</v>
      </c>
      <c r="D21" s="19"/>
    </row>
    <row r="22" spans="2:4" s="2" customFormat="1" ht="173.25" customHeight="1">
      <c r="B22" s="15">
        <v>46125</v>
      </c>
      <c r="C22" s="18" t="str">
        <f t="shared" si="0"/>
        <v>Monday</v>
      </c>
      <c r="D22" s="19" t="s">
        <v>94</v>
      </c>
    </row>
    <row r="23" spans="2:4" s="2" customFormat="1" ht="31.5" customHeight="1">
      <c r="B23" s="15">
        <v>46126</v>
      </c>
      <c r="C23" s="18" t="str">
        <f t="shared" si="0"/>
        <v>Tuesday</v>
      </c>
      <c r="D23" s="19" t="s">
        <v>95</v>
      </c>
    </row>
    <row r="24" spans="2:4" s="2" customFormat="1" ht="47.25" customHeight="1">
      <c r="B24" s="15">
        <v>46127</v>
      </c>
      <c r="C24" s="18" t="str">
        <f t="shared" si="0"/>
        <v>Wednesday</v>
      </c>
      <c r="D24" s="19" t="s">
        <v>96</v>
      </c>
    </row>
    <row r="25" spans="2:4" s="2" customFormat="1" ht="126" customHeight="1">
      <c r="B25" s="15">
        <v>46128</v>
      </c>
      <c r="C25" s="18" t="str">
        <f t="shared" si="0"/>
        <v>Thursday</v>
      </c>
      <c r="D25" s="19" t="s">
        <v>97</v>
      </c>
    </row>
    <row r="26" spans="2:4" s="2" customFormat="1" ht="63" customHeight="1">
      <c r="B26" s="15">
        <v>46129</v>
      </c>
      <c r="C26" s="18" t="str">
        <f t="shared" si="0"/>
        <v>Friday</v>
      </c>
      <c r="D26" s="19" t="s">
        <v>98</v>
      </c>
    </row>
    <row r="27" spans="2:4" s="2" customFormat="1" ht="15.75" customHeight="1">
      <c r="B27" s="15">
        <v>46130</v>
      </c>
      <c r="C27" s="18" t="str">
        <f t="shared" si="0"/>
        <v>Saturday</v>
      </c>
      <c r="D27" s="19"/>
    </row>
    <row r="28" spans="2:4" s="2" customFormat="1" ht="15.75" customHeight="1">
      <c r="B28" s="15">
        <v>46131</v>
      </c>
      <c r="C28" s="18" t="str">
        <f t="shared" si="0"/>
        <v>Sunday</v>
      </c>
      <c r="D28" s="19"/>
    </row>
    <row r="29" spans="2:4" s="2" customFormat="1" ht="157.5" customHeight="1">
      <c r="B29" s="15">
        <v>46132</v>
      </c>
      <c r="C29" s="18" t="str">
        <f t="shared" si="0"/>
        <v>Monday</v>
      </c>
      <c r="D29" s="19" t="s">
        <v>99</v>
      </c>
    </row>
    <row r="30" spans="2:4" s="2" customFormat="1" ht="126" customHeight="1">
      <c r="B30" s="15">
        <v>46133</v>
      </c>
      <c r="C30" s="18" t="str">
        <f t="shared" si="0"/>
        <v>Tuesday</v>
      </c>
      <c r="D30" s="19" t="s">
        <v>100</v>
      </c>
    </row>
    <row r="31" spans="2:4" s="2" customFormat="1" ht="15.75" customHeight="1">
      <c r="B31" s="15">
        <v>46134</v>
      </c>
      <c r="C31" s="18" t="str">
        <f t="shared" si="0"/>
        <v>Wednesday</v>
      </c>
      <c r="D31" s="19" t="s">
        <v>101</v>
      </c>
    </row>
    <row r="32" spans="2:4" s="2" customFormat="1" ht="63" customHeight="1">
      <c r="B32" s="15">
        <v>46135</v>
      </c>
      <c r="C32" s="18" t="str">
        <f t="shared" si="0"/>
        <v>Thursday</v>
      </c>
      <c r="D32" s="19" t="s">
        <v>102</v>
      </c>
    </row>
    <row r="33" spans="2:6" s="2" customFormat="1" ht="15.75" customHeight="1">
      <c r="B33" s="15">
        <v>46136</v>
      </c>
      <c r="C33" s="18" t="str">
        <f t="shared" si="0"/>
        <v>Friday</v>
      </c>
      <c r="D33" s="19" t="s">
        <v>103</v>
      </c>
    </row>
    <row r="34" spans="2:6" s="2" customFormat="1" ht="15.75" customHeight="1">
      <c r="B34" s="15">
        <v>46137</v>
      </c>
      <c r="C34" s="18" t="str">
        <f t="shared" si="0"/>
        <v>Saturday</v>
      </c>
      <c r="D34" s="19"/>
    </row>
    <row r="35" spans="2:6" s="2" customFormat="1" ht="15.75" customHeight="1">
      <c r="B35" s="15">
        <v>46138</v>
      </c>
      <c r="C35" s="18" t="str">
        <f t="shared" si="0"/>
        <v>Sunday</v>
      </c>
      <c r="D35" s="19"/>
    </row>
    <row r="36" spans="2:6" s="2" customFormat="1" ht="31.5" customHeight="1">
      <c r="B36" s="15">
        <v>46139</v>
      </c>
      <c r="C36" s="18" t="str">
        <f t="shared" si="0"/>
        <v>Monday</v>
      </c>
      <c r="D36" s="28" t="s">
        <v>104</v>
      </c>
    </row>
    <row r="37" spans="2:6" ht="15.75" customHeight="1">
      <c r="B37" s="15">
        <v>46140</v>
      </c>
      <c r="C37" s="18" t="str">
        <f t="shared" si="0"/>
        <v>Tuesday</v>
      </c>
      <c r="D37" s="19" t="s">
        <v>105</v>
      </c>
    </row>
    <row r="38" spans="2:6" ht="15.75" customHeight="1">
      <c r="B38" s="15">
        <v>46141</v>
      </c>
      <c r="C38" s="18" t="str">
        <f t="shared" si="0"/>
        <v>Wednesday</v>
      </c>
      <c r="D38" s="19" t="s">
        <v>106</v>
      </c>
      <c r="F38" s="1"/>
    </row>
    <row r="39" spans="2:6" ht="63.4" customHeight="1" thickBot="1">
      <c r="B39" s="25">
        <v>46142</v>
      </c>
      <c r="C39" s="26" t="str">
        <f t="shared" si="0"/>
        <v>Thursday</v>
      </c>
      <c r="D39" s="31" t="s">
        <v>107</v>
      </c>
      <c r="F39" s="1"/>
    </row>
    <row r="40" spans="2:6">
      <c r="B40" s="13"/>
      <c r="F40" s="1"/>
    </row>
    <row r="41" spans="2:6">
      <c r="B41" s="10" t="s">
        <v>21</v>
      </c>
      <c r="C41" s="1"/>
      <c r="D41" s="14" t="s">
        <v>48</v>
      </c>
      <c r="F41" s="1"/>
    </row>
    <row r="42" spans="2:6">
      <c r="B42" s="1"/>
      <c r="C42" s="1"/>
      <c r="D42" s="11"/>
      <c r="E42" s="1"/>
      <c r="F42" s="2"/>
    </row>
    <row r="43" spans="2:6">
      <c r="B43" s="1"/>
      <c r="C43" s="1"/>
      <c r="D43" s="11"/>
      <c r="E43" s="1"/>
      <c r="F43" s="2"/>
    </row>
    <row r="44" spans="2:6">
      <c r="B44" s="1"/>
      <c r="C44" s="1"/>
      <c r="D44" s="11"/>
      <c r="E44" s="1"/>
      <c r="F44" s="1"/>
    </row>
    <row r="45" spans="2:6">
      <c r="B45" s="1"/>
      <c r="C45" s="1"/>
      <c r="D45" s="11"/>
      <c r="E45" s="1"/>
      <c r="F45" s="1"/>
    </row>
    <row r="46" spans="2:6">
      <c r="B46" s="3" t="s">
        <v>23</v>
      </c>
      <c r="C46" s="1"/>
      <c r="D46" s="12" t="s">
        <v>24</v>
      </c>
      <c r="E46" s="1"/>
      <c r="F46" s="1"/>
    </row>
    <row r="47" spans="2:6">
      <c r="B47" s="10" t="s">
        <v>25</v>
      </c>
      <c r="C47" s="1"/>
      <c r="D47" s="14" t="s">
        <v>26</v>
      </c>
      <c r="E47" s="1"/>
      <c r="F47" s="1"/>
    </row>
    <row r="48" spans="2:6">
      <c r="E48" s="4"/>
      <c r="F48" s="1"/>
    </row>
    <row r="49" spans="2:5">
      <c r="B49" s="10"/>
      <c r="C49" s="1"/>
      <c r="D49" s="1"/>
      <c r="E49" s="1"/>
    </row>
  </sheetData>
  <mergeCells count="7">
    <mergeCell ref="B2:D2"/>
    <mergeCell ref="B3:D3"/>
    <mergeCell ref="B5:D5"/>
    <mergeCell ref="C8:C9"/>
    <mergeCell ref="D8:D9"/>
    <mergeCell ref="B8:B9"/>
    <mergeCell ref="B6:D6"/>
  </mergeCells>
  <conditionalFormatting sqref="C10:D35 C36 C37:D37 C38:C39">
    <cfRule type="expression" dxfId="19" priority="1">
      <formula>OR($C10="Saturday",$C10="Sunday")</formula>
    </cfRule>
    <cfRule type="expression" dxfId="18" priority="2">
      <formula>OR($A10="Saturday",$A10="Sunday")</formula>
    </cfRule>
  </conditionalFormatting>
  <conditionalFormatting sqref="D38">
    <cfRule type="expression" dxfId="17" priority="9">
      <formula>OR($C39="Saturday",$C39="Sunday")</formula>
    </cfRule>
    <cfRule type="expression" dxfId="16" priority="10">
      <formula>OR($A39="Saturday",$A39="Sunday")</formula>
    </cfRule>
  </conditionalFormatting>
  <pageMargins left="0.7" right="0.7" top="0.75" bottom="0.75" header="0.3" footer="0.3"/>
  <pageSetup scale="3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F49"/>
  <sheetViews>
    <sheetView view="pageBreakPreview" topLeftCell="A15" zoomScale="60" zoomScaleNormal="55" workbookViewId="0">
      <selection activeCell="B8" sqref="B8:D9"/>
    </sheetView>
  </sheetViews>
  <sheetFormatPr defaultColWidth="9" defaultRowHeight="14.25"/>
  <cols>
    <col min="1" max="1" width="10.19921875" customWidth="1"/>
    <col min="2" max="2" width="29.19921875" bestFit="1" customWidth="1"/>
    <col min="3" max="3" width="11.06640625" style="5" bestFit="1" customWidth="1"/>
    <col min="4" max="4" width="155.796875" style="6" customWidth="1"/>
    <col min="5" max="5" width="10.19921875" customWidth="1"/>
  </cols>
  <sheetData>
    <row r="2" spans="2:4" ht="25.5" customHeight="1">
      <c r="B2" s="51" t="s">
        <v>0</v>
      </c>
      <c r="C2" s="52"/>
      <c r="D2" s="53"/>
    </row>
    <row r="3" spans="2:4" ht="25.5" customHeight="1">
      <c r="B3" s="51" t="s">
        <v>108</v>
      </c>
      <c r="C3" s="52"/>
      <c r="D3" s="53"/>
    </row>
    <row r="4" spans="2:4">
      <c r="B4" s="7"/>
      <c r="C4" s="7"/>
      <c r="D4" s="8"/>
    </row>
    <row r="5" spans="2:4">
      <c r="B5" s="54" t="s">
        <v>2</v>
      </c>
      <c r="C5" s="52"/>
      <c r="D5" s="53"/>
    </row>
    <row r="6" spans="2:4">
      <c r="B6" s="54" t="s">
        <v>3</v>
      </c>
      <c r="C6" s="52"/>
      <c r="D6" s="53"/>
    </row>
    <row r="7" spans="2:4" ht="14.65" customHeight="1" thickBot="1">
      <c r="B7" s="9"/>
      <c r="C7" s="7"/>
      <c r="D7" s="8"/>
    </row>
    <row r="8" spans="2:4">
      <c r="B8" s="59" t="s">
        <v>4</v>
      </c>
      <c r="C8" s="55" t="s">
        <v>5</v>
      </c>
      <c r="D8" s="57" t="s">
        <v>6</v>
      </c>
    </row>
    <row r="9" spans="2:4" ht="14.65" customHeight="1" thickBot="1">
      <c r="B9" s="60"/>
      <c r="C9" s="56"/>
      <c r="D9" s="58"/>
    </row>
    <row r="10" spans="2:4" s="2" customFormat="1" ht="15.75" customHeight="1">
      <c r="B10" s="36">
        <v>46143</v>
      </c>
      <c r="C10" s="39" t="str">
        <f t="shared" ref="C10:C40" si="0">TEXT(B10,"dddd")</f>
        <v>Friday</v>
      </c>
      <c r="D10" s="41"/>
    </row>
    <row r="11" spans="2:4" s="2" customFormat="1" ht="15.75" customHeight="1">
      <c r="B11" s="15">
        <v>46144</v>
      </c>
      <c r="C11" s="18" t="str">
        <f t="shared" si="0"/>
        <v>Saturday</v>
      </c>
      <c r="D11" s="19"/>
    </row>
    <row r="12" spans="2:4" s="2" customFormat="1" ht="15.75" customHeight="1">
      <c r="B12" s="15">
        <v>46145</v>
      </c>
      <c r="C12" s="18" t="str">
        <f t="shared" si="0"/>
        <v>Sunday</v>
      </c>
      <c r="D12" s="19"/>
    </row>
    <row r="13" spans="2:4" s="2" customFormat="1" ht="78.75" customHeight="1">
      <c r="B13" s="15">
        <v>46146</v>
      </c>
      <c r="C13" s="18" t="str">
        <f t="shared" si="0"/>
        <v>Monday</v>
      </c>
      <c r="D13" s="19" t="s">
        <v>109</v>
      </c>
    </row>
    <row r="14" spans="2:4" s="2" customFormat="1" ht="31.5" customHeight="1">
      <c r="B14" s="15">
        <v>46147</v>
      </c>
      <c r="C14" s="18" t="str">
        <f t="shared" si="0"/>
        <v>Tuesday</v>
      </c>
      <c r="D14" s="19" t="s">
        <v>110</v>
      </c>
    </row>
    <row r="15" spans="2:4" s="2" customFormat="1" ht="47.25" customHeight="1">
      <c r="B15" s="15">
        <v>46148</v>
      </c>
      <c r="C15" s="18" t="str">
        <f t="shared" si="0"/>
        <v>Wednesday</v>
      </c>
      <c r="D15" s="23" t="s">
        <v>111</v>
      </c>
    </row>
    <row r="16" spans="2:4" s="2" customFormat="1" ht="47.25" customHeight="1">
      <c r="B16" s="15">
        <v>46149</v>
      </c>
      <c r="C16" s="18" t="str">
        <f t="shared" si="0"/>
        <v>Thursday</v>
      </c>
      <c r="D16" s="19" t="s">
        <v>111</v>
      </c>
    </row>
    <row r="17" spans="2:4" s="2" customFormat="1" ht="126" customHeight="1">
      <c r="B17" s="15">
        <v>46150</v>
      </c>
      <c r="C17" s="18" t="str">
        <f t="shared" si="0"/>
        <v>Friday</v>
      </c>
      <c r="D17" s="19" t="s">
        <v>112</v>
      </c>
    </row>
    <row r="18" spans="2:4" s="2" customFormat="1" ht="15.75" customHeight="1">
      <c r="B18" s="15">
        <v>46151</v>
      </c>
      <c r="C18" s="18" t="str">
        <f t="shared" si="0"/>
        <v>Saturday</v>
      </c>
      <c r="D18" s="19"/>
    </row>
    <row r="19" spans="2:4" s="2" customFormat="1" ht="15.75" customHeight="1">
      <c r="B19" s="15">
        <v>46152</v>
      </c>
      <c r="C19" s="18" t="str">
        <f t="shared" si="0"/>
        <v>Sunday</v>
      </c>
      <c r="D19" s="19"/>
    </row>
    <row r="20" spans="2:4" s="2" customFormat="1" ht="47.25" customHeight="1">
      <c r="B20" s="15">
        <v>46153</v>
      </c>
      <c r="C20" s="18" t="str">
        <f t="shared" si="0"/>
        <v>Monday</v>
      </c>
      <c r="D20" s="23" t="s">
        <v>113</v>
      </c>
    </row>
    <row r="21" spans="2:4" s="2" customFormat="1" ht="15.75" customHeight="1">
      <c r="B21" s="15">
        <v>46154</v>
      </c>
      <c r="C21" s="18" t="str">
        <f t="shared" si="0"/>
        <v>Tuesday</v>
      </c>
      <c r="D21" s="33" t="s">
        <v>114</v>
      </c>
    </row>
    <row r="22" spans="2:4" s="2" customFormat="1" ht="78.75" customHeight="1">
      <c r="B22" s="15">
        <v>46155</v>
      </c>
      <c r="C22" s="18" t="str">
        <f t="shared" si="0"/>
        <v>Wednesday</v>
      </c>
      <c r="D22" s="19" t="s">
        <v>115</v>
      </c>
    </row>
    <row r="23" spans="2:4" s="2" customFormat="1" ht="15.75" customHeight="1">
      <c r="B23" s="15">
        <v>46156</v>
      </c>
      <c r="C23" s="16" t="str">
        <f t="shared" si="0"/>
        <v>Thursday</v>
      </c>
      <c r="D23" s="34"/>
    </row>
    <row r="24" spans="2:4" s="2" customFormat="1" ht="15.75" customHeight="1">
      <c r="B24" s="15">
        <v>46157</v>
      </c>
      <c r="C24" s="16" t="str">
        <f t="shared" si="0"/>
        <v>Friday</v>
      </c>
      <c r="D24" s="32"/>
    </row>
    <row r="25" spans="2:4" s="2" customFormat="1" ht="15.75" customHeight="1">
      <c r="B25" s="15">
        <v>46158</v>
      </c>
      <c r="C25" s="18" t="str">
        <f t="shared" si="0"/>
        <v>Saturday</v>
      </c>
      <c r="D25" s="19"/>
    </row>
    <row r="26" spans="2:4" s="2" customFormat="1" ht="15.75" customHeight="1">
      <c r="B26" s="15">
        <v>46159</v>
      </c>
      <c r="C26" s="18" t="str">
        <f t="shared" si="0"/>
        <v>Sunday</v>
      </c>
      <c r="D26" s="19"/>
    </row>
    <row r="27" spans="2:4" s="2" customFormat="1" ht="63" customHeight="1">
      <c r="B27" s="15">
        <v>46160</v>
      </c>
      <c r="C27" s="18" t="str">
        <f t="shared" si="0"/>
        <v>Monday</v>
      </c>
      <c r="D27" s="19" t="s">
        <v>116</v>
      </c>
    </row>
    <row r="28" spans="2:4" s="2" customFormat="1" ht="63" customHeight="1">
      <c r="B28" s="15">
        <v>46161</v>
      </c>
      <c r="C28" s="18" t="str">
        <f t="shared" si="0"/>
        <v>Tuesday</v>
      </c>
      <c r="D28" s="28" t="s">
        <v>117</v>
      </c>
    </row>
    <row r="29" spans="2:4" s="2" customFormat="1" ht="47.25" customHeight="1">
      <c r="B29" s="15">
        <v>46162</v>
      </c>
      <c r="C29" s="18" t="str">
        <f t="shared" si="0"/>
        <v>Wednesday</v>
      </c>
      <c r="D29" s="28" t="s">
        <v>118</v>
      </c>
    </row>
    <row r="30" spans="2:4" s="2" customFormat="1" ht="47.25" customHeight="1">
      <c r="B30" s="15">
        <v>46163</v>
      </c>
      <c r="C30" s="18" t="str">
        <f t="shared" si="0"/>
        <v>Thursday</v>
      </c>
      <c r="D30" s="19" t="s">
        <v>119</v>
      </c>
    </row>
    <row r="31" spans="2:4" s="2" customFormat="1" ht="31.5" customHeight="1">
      <c r="B31" s="15">
        <v>46164</v>
      </c>
      <c r="C31" s="18" t="str">
        <f t="shared" si="0"/>
        <v>Friday</v>
      </c>
      <c r="D31" s="19" t="s">
        <v>120</v>
      </c>
    </row>
    <row r="32" spans="2:4" s="2" customFormat="1" ht="15.75" customHeight="1">
      <c r="B32" s="15">
        <v>46165</v>
      </c>
      <c r="C32" s="18" t="str">
        <f t="shared" si="0"/>
        <v>Saturday</v>
      </c>
      <c r="D32" s="19"/>
    </row>
    <row r="33" spans="2:6" s="2" customFormat="1" ht="15.75" customHeight="1">
      <c r="B33" s="15">
        <v>46166</v>
      </c>
      <c r="C33" s="18" t="str">
        <f t="shared" si="0"/>
        <v>Sunday</v>
      </c>
      <c r="D33" s="19"/>
    </row>
    <row r="34" spans="2:6" s="2" customFormat="1" ht="31.5" customHeight="1">
      <c r="B34" s="15">
        <v>46167</v>
      </c>
      <c r="C34" s="18" t="str">
        <f t="shared" si="0"/>
        <v>Monday</v>
      </c>
      <c r="D34" s="19" t="s">
        <v>121</v>
      </c>
    </row>
    <row r="35" spans="2:6" s="2" customFormat="1" ht="47.25" customHeight="1">
      <c r="B35" s="15">
        <v>46168</v>
      </c>
      <c r="C35" s="18" t="str">
        <f t="shared" si="0"/>
        <v>Tuesday</v>
      </c>
      <c r="D35" s="19" t="s">
        <v>122</v>
      </c>
    </row>
    <row r="36" spans="2:6" s="2" customFormat="1" ht="15.75" customHeight="1">
      <c r="B36" s="15">
        <v>46169</v>
      </c>
      <c r="C36" s="16" t="str">
        <f t="shared" si="0"/>
        <v>Wednesday</v>
      </c>
      <c r="D36" s="17"/>
    </row>
    <row r="37" spans="2:6" ht="15.75" customHeight="1">
      <c r="B37" s="15">
        <v>46170</v>
      </c>
      <c r="C37" s="16" t="str">
        <f t="shared" si="0"/>
        <v>Thursday</v>
      </c>
      <c r="D37" s="17"/>
    </row>
    <row r="38" spans="2:6" ht="63" customHeight="1">
      <c r="B38" s="15">
        <v>46171</v>
      </c>
      <c r="C38" s="18" t="str">
        <f t="shared" si="0"/>
        <v>Friday</v>
      </c>
      <c r="D38" s="29" t="s">
        <v>123</v>
      </c>
      <c r="F38" s="1"/>
    </row>
    <row r="39" spans="2:6" ht="15.75" customHeight="1">
      <c r="B39" s="15">
        <v>46172</v>
      </c>
      <c r="C39" s="18" t="str">
        <f t="shared" si="0"/>
        <v>Saturday</v>
      </c>
      <c r="D39" s="19"/>
      <c r="F39" s="1"/>
    </row>
    <row r="40" spans="2:6" ht="16.149999999999999" customHeight="1" thickBot="1">
      <c r="B40" s="25">
        <v>46173</v>
      </c>
      <c r="C40" s="26" t="str">
        <f t="shared" si="0"/>
        <v>Sunday</v>
      </c>
      <c r="D40" s="27"/>
      <c r="F40" s="1"/>
    </row>
    <row r="41" spans="2:6">
      <c r="B41" s="13"/>
      <c r="F41" s="1"/>
    </row>
    <row r="42" spans="2:6">
      <c r="B42" s="10" t="s">
        <v>21</v>
      </c>
      <c r="C42" s="1"/>
      <c r="D42" s="14" t="s">
        <v>48</v>
      </c>
      <c r="E42" s="1"/>
      <c r="F42" s="2"/>
    </row>
    <row r="43" spans="2:6">
      <c r="B43" s="1"/>
      <c r="C43" s="1"/>
      <c r="D43" s="11"/>
      <c r="E43" s="1"/>
      <c r="F43" s="2"/>
    </row>
    <row r="44" spans="2:6">
      <c r="B44" s="1"/>
      <c r="C44" s="1"/>
      <c r="D44" s="11"/>
      <c r="E44" s="1"/>
      <c r="F44" s="1"/>
    </row>
    <row r="45" spans="2:6">
      <c r="B45" s="1"/>
      <c r="C45" s="1"/>
      <c r="D45" s="11"/>
      <c r="E45" s="1"/>
      <c r="F45" s="1"/>
    </row>
    <row r="46" spans="2:6">
      <c r="B46" s="1"/>
      <c r="C46" s="1"/>
      <c r="D46" s="11"/>
      <c r="E46" s="1"/>
      <c r="F46" s="1"/>
    </row>
    <row r="47" spans="2:6">
      <c r="B47" s="3" t="s">
        <v>23</v>
      </c>
      <c r="C47" s="1"/>
      <c r="D47" s="12" t="s">
        <v>24</v>
      </c>
      <c r="E47" s="1"/>
      <c r="F47" s="1"/>
    </row>
    <row r="48" spans="2:6">
      <c r="B48" s="10" t="s">
        <v>25</v>
      </c>
      <c r="C48" s="1"/>
      <c r="D48" s="14" t="s">
        <v>26</v>
      </c>
      <c r="E48" s="4"/>
      <c r="F48" s="1"/>
    </row>
    <row r="49" spans="2:5">
      <c r="B49" s="10"/>
      <c r="C49" s="1"/>
      <c r="D49" s="1"/>
      <c r="E49" s="1"/>
    </row>
  </sheetData>
  <mergeCells count="7">
    <mergeCell ref="B2:D2"/>
    <mergeCell ref="B3:D3"/>
    <mergeCell ref="B5:D5"/>
    <mergeCell ref="C8:C9"/>
    <mergeCell ref="D8:D9"/>
    <mergeCell ref="B8:B9"/>
    <mergeCell ref="B6:D6"/>
  </mergeCells>
  <conditionalFormatting sqref="C10:D12 C13:C15 C16:D19 C20:C24 C25:D27 C28:C29 C30:D37 C38 C39:D40">
    <cfRule type="expression" dxfId="15" priority="7">
      <formula>OR($C10="Saturday",$C10="Sunday")</formula>
    </cfRule>
    <cfRule type="expression" dxfId="14" priority="8">
      <formula>OR($A10="Saturday",$A10="Sunday")</formula>
    </cfRule>
  </conditionalFormatting>
  <conditionalFormatting sqref="D13:D14">
    <cfRule type="expression" dxfId="13" priority="5">
      <formula>OR($C14="Saturday",$C14="Sunday")</formula>
    </cfRule>
    <cfRule type="expression" dxfId="12" priority="6">
      <formula>OR($A14="Saturday",$A14="Sunday")</formula>
    </cfRule>
  </conditionalFormatting>
  <conditionalFormatting sqref="D22:D23">
    <cfRule type="expression" dxfId="11" priority="1">
      <formula>OR($C21="Saturday",$C21="Sunday")</formula>
    </cfRule>
    <cfRule type="expression" dxfId="10" priority="2">
      <formula>OR($A21="Saturday",$A21="Sunday")</formula>
    </cfRule>
  </conditionalFormatting>
  <pageMargins left="0.7" right="0.7" top="0.75" bottom="0.75" header="0.3" footer="0.3"/>
  <pageSetup scale="41"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F48"/>
  <sheetViews>
    <sheetView view="pageBreakPreview" zoomScale="60" zoomScaleNormal="55" workbookViewId="0">
      <selection activeCell="D41" sqref="A1:XFD1048576"/>
    </sheetView>
  </sheetViews>
  <sheetFormatPr defaultColWidth="9" defaultRowHeight="14.25"/>
  <cols>
    <col min="1" max="1" width="10.19921875" customWidth="1"/>
    <col min="2" max="2" width="29.19921875" bestFit="1" customWidth="1"/>
    <col min="3" max="3" width="11.06640625" style="5" bestFit="1" customWidth="1"/>
    <col min="4" max="4" width="156.33203125" style="6" customWidth="1"/>
    <col min="5" max="5" width="10.33203125" customWidth="1"/>
  </cols>
  <sheetData>
    <row r="2" spans="2:4" ht="25.5" customHeight="1">
      <c r="B2" s="51" t="s">
        <v>0</v>
      </c>
      <c r="C2" s="52"/>
      <c r="D2" s="53"/>
    </row>
    <row r="3" spans="2:4" ht="25.5" customHeight="1">
      <c r="B3" s="51" t="s">
        <v>124</v>
      </c>
      <c r="C3" s="52"/>
      <c r="D3" s="53"/>
    </row>
    <row r="4" spans="2:4">
      <c r="B4" s="7"/>
      <c r="C4" s="7"/>
      <c r="D4" s="8"/>
    </row>
    <row r="5" spans="2:4">
      <c r="B5" s="54" t="s">
        <v>2</v>
      </c>
      <c r="C5" s="52"/>
      <c r="D5" s="53"/>
    </row>
    <row r="6" spans="2:4">
      <c r="B6" s="54" t="s">
        <v>3</v>
      </c>
      <c r="C6" s="52"/>
      <c r="D6" s="53"/>
    </row>
    <row r="7" spans="2:4" ht="14.65" customHeight="1" thickBot="1">
      <c r="B7" s="9"/>
      <c r="C7" s="7"/>
      <c r="D7" s="8"/>
    </row>
    <row r="8" spans="2:4">
      <c r="B8" s="59" t="s">
        <v>4</v>
      </c>
      <c r="C8" s="55" t="s">
        <v>5</v>
      </c>
      <c r="D8" s="57" t="s">
        <v>6</v>
      </c>
    </row>
    <row r="9" spans="2:4" ht="14.65" customHeight="1" thickBot="1">
      <c r="B9" s="60"/>
      <c r="C9" s="56"/>
      <c r="D9" s="58"/>
    </row>
    <row r="10" spans="2:4" s="2" customFormat="1" ht="15.75" customHeight="1">
      <c r="B10" s="36">
        <v>46174</v>
      </c>
      <c r="C10" s="39" t="str">
        <f t="shared" ref="C10:C39" si="0">TEXT(B10,"dddd")</f>
        <v>Monday</v>
      </c>
      <c r="D10" s="40"/>
    </row>
    <row r="11" spans="2:4" s="2" customFormat="1" ht="47.25" customHeight="1">
      <c r="B11" s="15">
        <v>46175</v>
      </c>
      <c r="C11" s="18" t="str">
        <f t="shared" si="0"/>
        <v>Tuesday</v>
      </c>
      <c r="D11" s="28" t="s">
        <v>125</v>
      </c>
    </row>
    <row r="12" spans="2:4" s="2" customFormat="1" ht="15.75" customHeight="1">
      <c r="B12" s="15">
        <v>46176</v>
      </c>
      <c r="C12" s="18" t="str">
        <f t="shared" si="0"/>
        <v>Wednesday</v>
      </c>
      <c r="D12" s="35" t="s">
        <v>126</v>
      </c>
    </row>
    <row r="13" spans="2:4" s="2" customFormat="1" ht="31.5" customHeight="1">
      <c r="B13" s="15">
        <v>46177</v>
      </c>
      <c r="C13" s="18" t="str">
        <f t="shared" si="0"/>
        <v>Thursday</v>
      </c>
      <c r="D13" s="19" t="s">
        <v>127</v>
      </c>
    </row>
    <row r="14" spans="2:4" s="2" customFormat="1" ht="31.5" customHeight="1">
      <c r="B14" s="15">
        <v>46178</v>
      </c>
      <c r="C14" s="18" t="str">
        <f t="shared" si="0"/>
        <v>Friday</v>
      </c>
      <c r="D14" s="19" t="s">
        <v>128</v>
      </c>
    </row>
    <row r="15" spans="2:4" s="2" customFormat="1" ht="15.75" customHeight="1">
      <c r="B15" s="15">
        <v>46179</v>
      </c>
      <c r="C15" s="18" t="str">
        <f t="shared" si="0"/>
        <v>Saturday</v>
      </c>
      <c r="D15" s="19"/>
    </row>
    <row r="16" spans="2:4" s="2" customFormat="1" ht="15.75" customHeight="1">
      <c r="B16" s="15">
        <v>46180</v>
      </c>
      <c r="C16" s="18" t="str">
        <f t="shared" si="0"/>
        <v>Sunday</v>
      </c>
      <c r="D16" s="19"/>
    </row>
    <row r="17" spans="2:4" s="2" customFormat="1" ht="47.25" customHeight="1">
      <c r="B17" s="15">
        <v>46181</v>
      </c>
      <c r="C17" s="18" t="str">
        <f t="shared" si="0"/>
        <v>Monday</v>
      </c>
      <c r="D17" s="19" t="s">
        <v>129</v>
      </c>
    </row>
    <row r="18" spans="2:4" s="2" customFormat="1" ht="47.25" customHeight="1">
      <c r="B18" s="15">
        <v>46182</v>
      </c>
      <c r="C18" s="18" t="str">
        <f t="shared" si="0"/>
        <v>Tuesday</v>
      </c>
      <c r="D18" s="19" t="s">
        <v>130</v>
      </c>
    </row>
    <row r="19" spans="2:4" s="2" customFormat="1" ht="31.5" customHeight="1">
      <c r="B19" s="15">
        <v>46183</v>
      </c>
      <c r="C19" s="18" t="str">
        <f t="shared" si="0"/>
        <v>Wednesday</v>
      </c>
      <c r="D19" s="19" t="s">
        <v>131</v>
      </c>
    </row>
    <row r="20" spans="2:4" s="2" customFormat="1" ht="31.5" customHeight="1">
      <c r="B20" s="15">
        <v>46184</v>
      </c>
      <c r="C20" s="18" t="str">
        <f t="shared" si="0"/>
        <v>Thursday</v>
      </c>
      <c r="D20" s="19" t="s">
        <v>132</v>
      </c>
    </row>
    <row r="21" spans="2:4" s="2" customFormat="1" ht="47.25" customHeight="1">
      <c r="B21" s="15">
        <v>46185</v>
      </c>
      <c r="C21" s="18" t="str">
        <f t="shared" si="0"/>
        <v>Friday</v>
      </c>
      <c r="D21" s="23" t="s">
        <v>133</v>
      </c>
    </row>
    <row r="22" spans="2:4" s="2" customFormat="1" ht="15.75" customHeight="1">
      <c r="B22" s="15">
        <v>46186</v>
      </c>
      <c r="C22" s="18" t="str">
        <f t="shared" si="0"/>
        <v>Saturday</v>
      </c>
      <c r="D22" s="19"/>
    </row>
    <row r="23" spans="2:4" s="2" customFormat="1" ht="15.75" customHeight="1">
      <c r="B23" s="15">
        <v>46187</v>
      </c>
      <c r="C23" s="18" t="str">
        <f t="shared" si="0"/>
        <v>Sunday</v>
      </c>
      <c r="D23" s="19"/>
    </row>
    <row r="24" spans="2:4" s="2" customFormat="1" ht="94.5" customHeight="1">
      <c r="B24" s="15">
        <v>46188</v>
      </c>
      <c r="C24" s="18" t="str">
        <f t="shared" si="0"/>
        <v>Monday</v>
      </c>
      <c r="D24" s="19" t="s">
        <v>134</v>
      </c>
    </row>
    <row r="25" spans="2:4" s="2" customFormat="1" ht="15.75" customHeight="1">
      <c r="B25" s="15">
        <v>46189</v>
      </c>
      <c r="C25" s="16" t="str">
        <f t="shared" si="0"/>
        <v>Tuesday</v>
      </c>
      <c r="D25" s="17"/>
    </row>
    <row r="26" spans="2:4" s="2" customFormat="1" ht="47.25" customHeight="1">
      <c r="B26" s="15">
        <v>46190</v>
      </c>
      <c r="C26" s="18" t="str">
        <f t="shared" si="0"/>
        <v>Wednesday</v>
      </c>
      <c r="D26" s="19" t="s">
        <v>135</v>
      </c>
    </row>
    <row r="27" spans="2:4" s="2" customFormat="1" ht="63" customHeight="1">
      <c r="B27" s="15">
        <v>46191</v>
      </c>
      <c r="C27" s="18" t="str">
        <f t="shared" si="0"/>
        <v>Thursday</v>
      </c>
      <c r="D27" s="19" t="s">
        <v>136</v>
      </c>
    </row>
    <row r="28" spans="2:4" s="2" customFormat="1" ht="126" customHeight="1">
      <c r="B28" s="15">
        <v>46192</v>
      </c>
      <c r="C28" s="18" t="str">
        <f t="shared" si="0"/>
        <v>Friday</v>
      </c>
      <c r="D28" s="19" t="s">
        <v>137</v>
      </c>
    </row>
    <row r="29" spans="2:4" s="2" customFormat="1" ht="15.75" customHeight="1">
      <c r="B29" s="15">
        <v>46193</v>
      </c>
      <c r="C29" s="18" t="str">
        <f t="shared" si="0"/>
        <v>Saturday</v>
      </c>
      <c r="D29" s="19"/>
    </row>
    <row r="30" spans="2:4" s="2" customFormat="1" ht="15.75" customHeight="1">
      <c r="B30" s="15">
        <v>46194</v>
      </c>
      <c r="C30" s="18" t="str">
        <f t="shared" si="0"/>
        <v>Sunday</v>
      </c>
      <c r="D30" s="19"/>
    </row>
    <row r="31" spans="2:4" s="2" customFormat="1" ht="31.5" customHeight="1">
      <c r="B31" s="15">
        <v>46195</v>
      </c>
      <c r="C31" s="18" t="str">
        <f t="shared" si="0"/>
        <v>Monday</v>
      </c>
      <c r="D31" s="19" t="s">
        <v>138</v>
      </c>
    </row>
    <row r="32" spans="2:4" s="2" customFormat="1" ht="15.75" customHeight="1">
      <c r="B32" s="15">
        <v>46196</v>
      </c>
      <c r="C32" s="18" t="str">
        <f t="shared" si="0"/>
        <v>Tuesday</v>
      </c>
      <c r="D32" s="19" t="s">
        <v>139</v>
      </c>
    </row>
    <row r="33" spans="2:6" s="2" customFormat="1" ht="15.75" customHeight="1">
      <c r="B33" s="15">
        <v>46197</v>
      </c>
      <c r="C33" s="18" t="str">
        <f t="shared" si="0"/>
        <v>Wednesday</v>
      </c>
      <c r="D33" s="19" t="s">
        <v>140</v>
      </c>
    </row>
    <row r="34" spans="2:6" s="2" customFormat="1" ht="15.75" customHeight="1">
      <c r="B34" s="15">
        <v>46198</v>
      </c>
      <c r="C34" s="18" t="str">
        <f t="shared" si="0"/>
        <v>Thursday</v>
      </c>
      <c r="D34" s="19" t="s">
        <v>141</v>
      </c>
    </row>
    <row r="35" spans="2:6" s="2" customFormat="1" ht="15.75" customHeight="1">
      <c r="B35" s="15">
        <v>46199</v>
      </c>
      <c r="C35" s="18" t="str">
        <f t="shared" si="0"/>
        <v>Friday</v>
      </c>
      <c r="D35" s="19" t="s">
        <v>142</v>
      </c>
    </row>
    <row r="36" spans="2:6" s="2" customFormat="1" ht="15.75" customHeight="1">
      <c r="B36" s="15">
        <v>46200</v>
      </c>
      <c r="C36" s="18" t="str">
        <f t="shared" si="0"/>
        <v>Saturday</v>
      </c>
      <c r="D36" s="19"/>
    </row>
    <row r="37" spans="2:6" ht="15.75" customHeight="1">
      <c r="B37" s="15">
        <v>46201</v>
      </c>
      <c r="C37" s="18" t="str">
        <f t="shared" si="0"/>
        <v>Sunday</v>
      </c>
      <c r="D37" s="19"/>
    </row>
    <row r="38" spans="2:6" ht="15.75" customHeight="1">
      <c r="B38" s="15">
        <v>46202</v>
      </c>
      <c r="C38" s="18" t="str">
        <f t="shared" si="0"/>
        <v>Monday</v>
      </c>
      <c r="D38" s="19" t="s">
        <v>143</v>
      </c>
      <c r="F38" s="1"/>
    </row>
    <row r="39" spans="2:6" ht="16.149999999999999" customHeight="1" thickBot="1">
      <c r="B39" s="25">
        <v>46203</v>
      </c>
      <c r="C39" s="26" t="str">
        <f t="shared" si="0"/>
        <v>Tuesday</v>
      </c>
      <c r="D39" s="27" t="s">
        <v>144</v>
      </c>
      <c r="F39" s="1"/>
    </row>
    <row r="40" spans="2:6">
      <c r="B40" s="1"/>
      <c r="C40" s="1"/>
      <c r="D40" s="11"/>
      <c r="F40" s="1"/>
    </row>
    <row r="41" spans="2:6">
      <c r="B41" s="10" t="s">
        <v>21</v>
      </c>
      <c r="C41" s="1"/>
      <c r="D41" s="43" t="s">
        <v>22</v>
      </c>
      <c r="E41" s="1"/>
      <c r="F41" s="2"/>
    </row>
    <row r="42" spans="2:6">
      <c r="B42" s="1"/>
      <c r="C42" s="1"/>
      <c r="D42" s="11"/>
      <c r="E42" s="1"/>
      <c r="F42" s="2"/>
    </row>
    <row r="43" spans="2:6">
      <c r="B43" s="1"/>
      <c r="C43" s="1"/>
      <c r="D43" s="11"/>
      <c r="E43" s="1"/>
      <c r="F43" s="1"/>
    </row>
    <row r="44" spans="2:6">
      <c r="B44" s="1"/>
      <c r="C44" s="1"/>
      <c r="D44" s="11"/>
      <c r="E44" s="1"/>
      <c r="F44" s="1"/>
    </row>
    <row r="45" spans="2:6">
      <c r="B45" s="1"/>
      <c r="C45" s="1"/>
      <c r="D45" s="11"/>
      <c r="E45" s="1"/>
      <c r="F45" s="1"/>
    </row>
    <row r="46" spans="2:6">
      <c r="B46" s="3" t="s">
        <v>23</v>
      </c>
      <c r="C46" s="1"/>
      <c r="D46" s="12" t="s">
        <v>24</v>
      </c>
      <c r="E46" s="1"/>
      <c r="F46" s="1"/>
    </row>
    <row r="47" spans="2:6">
      <c r="B47" s="10" t="s">
        <v>25</v>
      </c>
      <c r="C47" s="1"/>
      <c r="D47" s="14" t="s">
        <v>26</v>
      </c>
      <c r="E47" s="4"/>
      <c r="F47" s="1"/>
    </row>
    <row r="48" spans="2:6">
      <c r="B48" s="10"/>
      <c r="C48" s="1"/>
      <c r="D48" s="1"/>
      <c r="E48" s="1"/>
    </row>
  </sheetData>
  <mergeCells count="7">
    <mergeCell ref="B2:D2"/>
    <mergeCell ref="B3:D3"/>
    <mergeCell ref="B5:D5"/>
    <mergeCell ref="C8:C9"/>
    <mergeCell ref="D8:D9"/>
    <mergeCell ref="B8:B9"/>
    <mergeCell ref="B6:D6"/>
  </mergeCells>
  <conditionalFormatting sqref="C10:C12 C13:D20 C21 C22:D23 C24:C25 C26:D39">
    <cfRule type="expression" dxfId="9" priority="1">
      <formula>OR($C10="Saturday",$C10="Sunday")</formula>
    </cfRule>
    <cfRule type="expression" dxfId="8" priority="2">
      <formula>OR($A10="Saturday",$A10="Sunday")</formula>
    </cfRule>
  </conditionalFormatting>
  <conditionalFormatting sqref="D24">
    <cfRule type="expression" dxfId="7" priority="17">
      <formula>OR($C21="Saturday",$C21="Sunday")</formula>
    </cfRule>
    <cfRule type="expression" dxfId="6" priority="18">
      <formula>OR($A21="Saturday",$A21="Sunday")</formula>
    </cfRule>
  </conditionalFormatting>
  <conditionalFormatting sqref="D25">
    <cfRule type="expression" dxfId="5" priority="13">
      <formula>OR($C24="Saturday",$C24="Sunday")</formula>
    </cfRule>
    <cfRule type="expression" dxfId="4" priority="14">
      <formula>OR($A24="Saturday",$A24="Sunday")</formula>
    </cfRule>
  </conditionalFormatting>
  <pageMargins left="0.7" right="0.7" top="0.75" bottom="0.75" header="0.3" footer="0.3"/>
  <pageSetup scale="41"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F48"/>
  <sheetViews>
    <sheetView tabSelected="1" topLeftCell="A16" zoomScale="71" workbookViewId="0">
      <selection activeCell="D16" sqref="D16"/>
    </sheetView>
  </sheetViews>
  <sheetFormatPr defaultColWidth="9" defaultRowHeight="14.25"/>
  <cols>
    <col min="1" max="1" width="10.19921875" customWidth="1"/>
    <col min="2" max="2" width="29.19921875" bestFit="1" customWidth="1"/>
    <col min="3" max="3" width="11.06640625" style="5" bestFit="1" customWidth="1"/>
    <col min="4" max="4" width="255.59765625" style="6" bestFit="1" customWidth="1"/>
    <col min="5" max="5" width="10.33203125" customWidth="1"/>
  </cols>
  <sheetData>
    <row r="2" spans="2:4" ht="25.5" customHeight="1">
      <c r="B2" s="51" t="s">
        <v>0</v>
      </c>
      <c r="C2" s="52"/>
      <c r="D2" s="53"/>
    </row>
    <row r="3" spans="2:4" ht="25.5" customHeight="1">
      <c r="B3" s="51" t="s">
        <v>1</v>
      </c>
      <c r="C3" s="52"/>
      <c r="D3" s="53"/>
    </row>
    <row r="4" spans="2:4">
      <c r="B4" s="7"/>
      <c r="C4" s="7"/>
      <c r="D4" s="8"/>
    </row>
    <row r="5" spans="2:4">
      <c r="B5" s="54" t="s">
        <v>2</v>
      </c>
      <c r="C5" s="52"/>
      <c r="D5" s="53"/>
    </row>
    <row r="6" spans="2:4">
      <c r="B6" s="54" t="s">
        <v>3</v>
      </c>
      <c r="C6" s="52"/>
      <c r="D6" s="53"/>
    </row>
    <row r="7" spans="2:4" ht="14.65" customHeight="1" thickBot="1">
      <c r="B7" s="9"/>
      <c r="C7" s="7"/>
      <c r="D7" s="8"/>
    </row>
    <row r="8" spans="2:4">
      <c r="B8" s="59" t="s">
        <v>4</v>
      </c>
      <c r="C8" s="55" t="s">
        <v>5</v>
      </c>
      <c r="D8" s="57" t="s">
        <v>6</v>
      </c>
    </row>
    <row r="9" spans="2:4" ht="14.65" customHeight="1" thickBot="1">
      <c r="B9" s="60"/>
      <c r="C9" s="56"/>
      <c r="D9" s="58"/>
    </row>
    <row r="10" spans="2:4" s="2" customFormat="1" ht="15.75" customHeight="1">
      <c r="B10" s="36">
        <v>46204</v>
      </c>
      <c r="C10" s="44" t="str">
        <f t="shared" ref="C10:C39" si="0">TEXT(B10,"dddd")</f>
        <v>Wednesday</v>
      </c>
      <c r="D10" s="49"/>
    </row>
    <row r="11" spans="2:4" s="2" customFormat="1" ht="78.75" customHeight="1">
      <c r="B11" s="36">
        <v>46205</v>
      </c>
      <c r="C11" s="18" t="str">
        <f t="shared" si="0"/>
        <v>Thursday</v>
      </c>
      <c r="D11" s="50" t="s">
        <v>7</v>
      </c>
    </row>
    <row r="12" spans="2:4" s="2" customFormat="1" ht="47.25" customHeight="1">
      <c r="B12" s="36">
        <v>46206</v>
      </c>
      <c r="C12" s="18" t="str">
        <f t="shared" si="0"/>
        <v>Friday</v>
      </c>
      <c r="D12" s="48" t="s">
        <v>8</v>
      </c>
    </row>
    <row r="13" spans="2:4" s="2" customFormat="1" ht="15.75" customHeight="1">
      <c r="B13" s="36">
        <v>46207</v>
      </c>
      <c r="C13" s="18" t="str">
        <f t="shared" si="0"/>
        <v>Saturday</v>
      </c>
      <c r="D13" s="19"/>
    </row>
    <row r="14" spans="2:4" s="2" customFormat="1" ht="15.75" customHeight="1">
      <c r="B14" s="36">
        <v>46208</v>
      </c>
      <c r="C14" s="18" t="str">
        <f t="shared" si="0"/>
        <v>Sunday</v>
      </c>
      <c r="D14" s="19"/>
    </row>
    <row r="15" spans="2:4" s="2" customFormat="1" ht="157.5" customHeight="1">
      <c r="B15" s="36">
        <v>46209</v>
      </c>
      <c r="C15" s="18" t="str">
        <f t="shared" si="0"/>
        <v>Monday</v>
      </c>
      <c r="D15" s="19" t="s">
        <v>9</v>
      </c>
    </row>
    <row r="16" spans="2:4" s="2" customFormat="1" ht="126" customHeight="1">
      <c r="B16" s="36">
        <v>46210</v>
      </c>
      <c r="C16" s="18" t="str">
        <f t="shared" si="0"/>
        <v>Tuesday</v>
      </c>
      <c r="D16" s="19" t="s">
        <v>10</v>
      </c>
    </row>
    <row r="17" spans="2:4" s="2" customFormat="1" ht="94.5" customHeight="1">
      <c r="B17" s="36">
        <v>46211</v>
      </c>
      <c r="C17" s="18" t="str">
        <f t="shared" si="0"/>
        <v>Wednesday</v>
      </c>
      <c r="D17" s="19" t="s">
        <v>11</v>
      </c>
    </row>
    <row r="18" spans="2:4" s="2" customFormat="1" ht="94.5" customHeight="1">
      <c r="B18" s="36">
        <v>46212</v>
      </c>
      <c r="C18" s="18" t="str">
        <f t="shared" si="0"/>
        <v>Thursday</v>
      </c>
      <c r="D18" s="19" t="s">
        <v>12</v>
      </c>
    </row>
    <row r="19" spans="2:4" s="2" customFormat="1" ht="47.25" customHeight="1">
      <c r="B19" s="36">
        <v>46213</v>
      </c>
      <c r="C19" s="18" t="str">
        <f t="shared" si="0"/>
        <v>Friday</v>
      </c>
      <c r="D19" s="19" t="s">
        <v>13</v>
      </c>
    </row>
    <row r="20" spans="2:4" s="2" customFormat="1" ht="15.75" customHeight="1">
      <c r="B20" s="36">
        <v>46214</v>
      </c>
      <c r="C20" s="18" t="str">
        <f t="shared" si="0"/>
        <v>Saturday</v>
      </c>
      <c r="D20" s="19"/>
    </row>
    <row r="21" spans="2:4" s="2" customFormat="1" ht="15.75" customHeight="1">
      <c r="B21" s="36">
        <v>46215</v>
      </c>
      <c r="C21" s="18" t="str">
        <f t="shared" si="0"/>
        <v>Sunday</v>
      </c>
      <c r="D21" s="19"/>
    </row>
    <row r="22" spans="2:4" s="2" customFormat="1" ht="15.75" customHeight="1">
      <c r="B22" s="36">
        <v>46216</v>
      </c>
      <c r="C22" s="18" t="str">
        <f t="shared" si="0"/>
        <v>Monday</v>
      </c>
      <c r="D22" s="19" t="s">
        <v>14</v>
      </c>
    </row>
    <row r="23" spans="2:4" s="2" customFormat="1" ht="15.75" customHeight="1">
      <c r="B23" s="36">
        <v>46217</v>
      </c>
      <c r="C23" s="18" t="str">
        <f t="shared" si="0"/>
        <v>Tuesday</v>
      </c>
      <c r="D23" s="19" t="s">
        <v>15</v>
      </c>
    </row>
    <row r="24" spans="2:4" s="2" customFormat="1" ht="15.75" customHeight="1">
      <c r="B24" s="36">
        <v>46218</v>
      </c>
      <c r="C24" s="18" t="str">
        <f t="shared" si="0"/>
        <v>Wednesday</v>
      </c>
      <c r="D24" s="45" t="s">
        <v>16</v>
      </c>
    </row>
    <row r="25" spans="2:4" s="2" customFormat="1" ht="15.75" customHeight="1">
      <c r="B25" s="36">
        <v>46219</v>
      </c>
      <c r="C25" s="46" t="str">
        <f t="shared" si="0"/>
        <v>Thursday</v>
      </c>
      <c r="D25" s="49" t="s">
        <v>17</v>
      </c>
    </row>
    <row r="26" spans="2:4" s="2" customFormat="1" ht="15.75" customHeight="1">
      <c r="B26" s="36">
        <v>46220</v>
      </c>
      <c r="C26" s="18" t="str">
        <f t="shared" si="0"/>
        <v>Friday</v>
      </c>
      <c r="D26" s="19" t="s">
        <v>18</v>
      </c>
    </row>
    <row r="27" spans="2:4" s="2" customFormat="1" ht="15.75" customHeight="1">
      <c r="B27" s="36">
        <v>46221</v>
      </c>
      <c r="C27" s="18" t="str">
        <f t="shared" si="0"/>
        <v>Saturday</v>
      </c>
      <c r="D27" s="19"/>
    </row>
    <row r="28" spans="2:4" s="2" customFormat="1" ht="15.75" customHeight="1">
      <c r="B28" s="36">
        <v>46222</v>
      </c>
      <c r="C28" s="18" t="str">
        <f t="shared" si="0"/>
        <v>Sunday</v>
      </c>
      <c r="D28" s="19"/>
    </row>
    <row r="29" spans="2:4" s="2" customFormat="1" ht="15.75" customHeight="1">
      <c r="B29" s="36">
        <v>46223</v>
      </c>
      <c r="C29" s="18" t="str">
        <f t="shared" si="0"/>
        <v>Monday</v>
      </c>
      <c r="D29" s="19" t="s">
        <v>19</v>
      </c>
    </row>
    <row r="30" spans="2:4" s="2" customFormat="1" ht="15.75" customHeight="1">
      <c r="B30" s="36">
        <v>46224</v>
      </c>
      <c r="C30" s="18" t="str">
        <f t="shared" si="0"/>
        <v>Tuesday</v>
      </c>
      <c r="D30" s="19" t="s">
        <v>20</v>
      </c>
    </row>
    <row r="31" spans="2:4" s="2" customFormat="1" ht="15.75" customHeight="1">
      <c r="B31" s="36">
        <v>46225</v>
      </c>
      <c r="C31" s="18" t="str">
        <f t="shared" si="0"/>
        <v>Wednesday</v>
      </c>
      <c r="D31" s="19"/>
    </row>
    <row r="32" spans="2:4" s="2" customFormat="1" ht="15.75" customHeight="1">
      <c r="B32" s="36">
        <v>46226</v>
      </c>
      <c r="C32" s="18" t="str">
        <f t="shared" si="0"/>
        <v>Thursday</v>
      </c>
      <c r="D32" s="19"/>
    </row>
    <row r="33" spans="2:6" s="2" customFormat="1" ht="15.75" customHeight="1">
      <c r="B33" s="36">
        <v>46227</v>
      </c>
      <c r="C33" s="18" t="str">
        <f t="shared" si="0"/>
        <v>Friday</v>
      </c>
      <c r="D33" s="19"/>
    </row>
    <row r="34" spans="2:6" s="2" customFormat="1" ht="15.75" customHeight="1">
      <c r="B34" s="36">
        <v>46228</v>
      </c>
      <c r="C34" s="18" t="str">
        <f t="shared" si="0"/>
        <v>Saturday</v>
      </c>
      <c r="D34" s="19"/>
    </row>
    <row r="35" spans="2:6" s="2" customFormat="1" ht="15.75" customHeight="1">
      <c r="B35" s="36">
        <v>46229</v>
      </c>
      <c r="C35" s="18" t="str">
        <f t="shared" si="0"/>
        <v>Sunday</v>
      </c>
      <c r="D35" s="19"/>
    </row>
    <row r="36" spans="2:6" s="2" customFormat="1" ht="15.75" customHeight="1">
      <c r="B36" s="36">
        <v>46230</v>
      </c>
      <c r="C36" s="18" t="str">
        <f t="shared" si="0"/>
        <v>Monday</v>
      </c>
      <c r="D36" s="19"/>
    </row>
    <row r="37" spans="2:6" ht="15.75" customHeight="1">
      <c r="B37" s="36">
        <v>46231</v>
      </c>
      <c r="C37" s="18" t="str">
        <f t="shared" si="0"/>
        <v>Tuesday</v>
      </c>
      <c r="D37" s="19"/>
    </row>
    <row r="38" spans="2:6" ht="15.75" customHeight="1">
      <c r="B38" s="36">
        <v>46232</v>
      </c>
      <c r="C38" s="18" t="str">
        <f t="shared" si="0"/>
        <v>Wednesday</v>
      </c>
      <c r="D38" s="19"/>
      <c r="F38" s="1"/>
    </row>
    <row r="39" spans="2:6" ht="16.149999999999999" customHeight="1" thickBot="1">
      <c r="B39" s="47">
        <v>46233</v>
      </c>
      <c r="C39" s="26" t="str">
        <f t="shared" si="0"/>
        <v>Thursday</v>
      </c>
      <c r="D39" s="27"/>
      <c r="F39" s="1"/>
    </row>
    <row r="40" spans="2:6">
      <c r="B40" s="1"/>
      <c r="C40" s="1"/>
      <c r="D40" s="11"/>
      <c r="F40" s="1"/>
    </row>
    <row r="41" spans="2:6">
      <c r="B41" s="10" t="s">
        <v>21</v>
      </c>
      <c r="C41" s="1"/>
      <c r="D41" s="43" t="s">
        <v>22</v>
      </c>
      <c r="E41" s="1"/>
      <c r="F41" s="2"/>
    </row>
    <row r="42" spans="2:6">
      <c r="B42" s="1"/>
      <c r="C42" s="1"/>
      <c r="D42" s="11"/>
      <c r="E42" s="1"/>
      <c r="F42" s="2"/>
    </row>
    <row r="43" spans="2:6">
      <c r="B43" s="1"/>
      <c r="C43" s="1"/>
      <c r="D43" s="11"/>
      <c r="E43" s="1"/>
      <c r="F43" s="1"/>
    </row>
    <row r="44" spans="2:6">
      <c r="B44" s="1"/>
      <c r="C44" s="1"/>
      <c r="D44" s="11"/>
      <c r="E44" s="1"/>
      <c r="F44" s="1"/>
    </row>
    <row r="45" spans="2:6">
      <c r="B45" s="1"/>
      <c r="C45" s="1"/>
      <c r="D45" s="11"/>
      <c r="E45" s="1"/>
      <c r="F45" s="1"/>
    </row>
    <row r="46" spans="2:6">
      <c r="B46" s="3" t="s">
        <v>23</v>
      </c>
      <c r="C46" s="1"/>
      <c r="D46" s="12" t="s">
        <v>24</v>
      </c>
      <c r="E46" s="1"/>
      <c r="F46" s="1"/>
    </row>
    <row r="47" spans="2:6">
      <c r="B47" s="10" t="s">
        <v>25</v>
      </c>
      <c r="C47" s="1"/>
      <c r="D47" s="14" t="s">
        <v>26</v>
      </c>
      <c r="E47" s="4"/>
      <c r="F47" s="1"/>
    </row>
    <row r="48" spans="2:6">
      <c r="B48" s="10"/>
      <c r="C48" s="1"/>
      <c r="D48" s="1"/>
      <c r="E48" s="1"/>
    </row>
  </sheetData>
  <mergeCells count="7">
    <mergeCell ref="B2:D2"/>
    <mergeCell ref="B3:D3"/>
    <mergeCell ref="B5:D5"/>
    <mergeCell ref="C8:C9"/>
    <mergeCell ref="D8:D9"/>
    <mergeCell ref="B8:B9"/>
    <mergeCell ref="B6:D6"/>
  </mergeCells>
  <conditionalFormatting sqref="C10:C12 C13:D23 C24:C25 C26:D39">
    <cfRule type="expression" dxfId="3" priority="1">
      <formula>OR($C10="Saturday",$C10="Sunday")</formula>
    </cfRule>
    <cfRule type="expression" dxfId="2" priority="2">
      <formula>OR($A10="Saturday",$A10="Sunday")</formula>
    </cfRule>
  </conditionalFormatting>
  <conditionalFormatting sqref="D24">
    <cfRule type="expression" dxfId="1" priority="3">
      <formula>OR($C24="Saturday",$C24="Sunday")</formula>
    </cfRule>
    <cfRule type="expression" dxfId="0" priority="4">
      <formula>OR($A24="Saturday",$A24="Sunday")</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Januari 2026</vt:lpstr>
      <vt:lpstr>Februari 2026</vt:lpstr>
      <vt:lpstr>Maret 2026</vt:lpstr>
      <vt:lpstr>April 2026</vt:lpstr>
      <vt:lpstr>Mei 2026</vt:lpstr>
      <vt:lpstr>Juni 2026</vt:lpstr>
      <vt:lpstr>Juli 2026</vt:lpstr>
      <vt:lpstr>'April 2026'!Print_Area</vt:lpstr>
      <vt:lpstr>'Februari 2026'!Print_Area</vt:lpstr>
      <vt:lpstr>'Januari 2026'!Print_Area</vt:lpstr>
      <vt:lpstr>'Juni 2026'!Print_Area</vt:lpstr>
      <vt:lpstr>'Maret 2026'!Print_Area</vt:lpstr>
      <vt:lpstr>'Mei 2026'!Print_Area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JMTO</dc:creator>
  <cp:lastModifiedBy>haidar ijlal</cp:lastModifiedBy>
  <cp:lastPrinted>2026-06-22T06:57:54Z</cp:lastPrinted>
  <dcterms:created xsi:type="dcterms:W3CDTF">2023-08-29T03:43:00Z</dcterms:created>
  <dcterms:modified xsi:type="dcterms:W3CDTF">2026-07-21T06:29:03Z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B07ADFA6587343268AB5913C5EB16822</vt:lpwstr>
  </property>
  <property fmtid="{D5CDD505-2E9C-101B-9397-08002B2CF9AE}" pid="3" name="KSOProductBuildVer">
    <vt:lpwstr>1033-12.2.0.13472</vt:lpwstr>
  </property>
</Properties>
</file>